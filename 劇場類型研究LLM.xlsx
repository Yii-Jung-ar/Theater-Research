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工作表1" sheetId="1" r:id="rId5"/>
  </sheets>
  <definedNames/>
  <calcPr/>
</workbook>
</file>

<file path=xl/sharedStrings.xml><?xml version="1.0" encoding="utf-8"?>
<sst xmlns="http://schemas.openxmlformats.org/spreadsheetml/2006/main" count="321" uniqueCount="187">
  <si>
    <t>Case</t>
  </si>
  <si>
    <t>Source</t>
  </si>
  <si>
    <t>Office/ Architects</t>
  </si>
  <si>
    <t>Year</t>
  </si>
  <si>
    <t>Location</t>
  </si>
  <si>
    <t>Continent</t>
  </si>
  <si>
    <t>Floor</t>
  </si>
  <si>
    <t>Theatre</t>
  </si>
  <si>
    <t>Seating Capacity</t>
  </si>
  <si>
    <t>Seating Flexibility</t>
  </si>
  <si>
    <t>Type</t>
  </si>
  <si>
    <t>Stage Form</t>
  </si>
  <si>
    <t>Seating Form</t>
  </si>
  <si>
    <t>Total Area (Theater)</t>
  </si>
  <si>
    <t>GFA(m²)</t>
  </si>
  <si>
    <t>劇場面積占比</t>
  </si>
  <si>
    <t>Other Program</t>
  </si>
  <si>
    <t>Oslo Opera House</t>
  </si>
  <si>
    <t>Snøhetta</t>
  </si>
  <si>
    <t>Norway</t>
  </si>
  <si>
    <t>North Europe</t>
  </si>
  <si>
    <t>Proscenium</t>
  </si>
  <si>
    <t>Metropolitan Opera House at Lincoln Center</t>
  </si>
  <si>
    <t>Harrison &amp; Abramovitz</t>
  </si>
  <si>
    <t>Upper West Side, Manhattan</t>
  </si>
  <si>
    <t>North America</t>
  </si>
  <si>
    <t>Opera House</t>
  </si>
  <si>
    <t>Alice Tully Hall at Lincoln Center
 (The Juilliard School)</t>
  </si>
  <si>
    <t>Pietro Belluschi(原學院)/ 
DS+R/ FXFOWLE Architects(改建)</t>
  </si>
  <si>
    <t>1969(原劇場)/ 
2009(改建)</t>
  </si>
  <si>
    <t>Starr Theater</t>
  </si>
  <si>
    <t>Fixed</t>
  </si>
  <si>
    <t>Chamber Music</t>
  </si>
  <si>
    <t>Shoebox</t>
  </si>
  <si>
    <t>Academy, Plaza</t>
  </si>
  <si>
    <t>Peter Jay Sharp Theater</t>
  </si>
  <si>
    <t>Paul Recital Hal</t>
  </si>
  <si>
    <t>Stephanie P. McClelland Drama Theater</t>
  </si>
  <si>
    <t>Morse Recital Hall</t>
  </si>
  <si>
    <t>Rosemary and Meredith Willson Theater</t>
  </si>
  <si>
    <t>Rose Theater / Jazz at Lincoln Center</t>
  </si>
  <si>
    <t>Rafael Viñoly</t>
  </si>
  <si>
    <t>Concert Hall</t>
  </si>
  <si>
    <t>Teatro Degli Arcimboldi</t>
  </si>
  <si>
    <t>Vittorio Gregotti</t>
  </si>
  <si>
    <t>Milano</t>
  </si>
  <si>
    <t>Europe</t>
  </si>
  <si>
    <t>Teatro del Liceu</t>
  </si>
  <si>
    <t>Ignasi de Solà Morales</t>
  </si>
  <si>
    <t>1999重建+擴建</t>
  </si>
  <si>
    <t>Barcelona</t>
  </si>
  <si>
    <t>Schauspielhaus Düsseldorf</t>
  </si>
  <si>
    <t>Bernard Pfau /Ingenhoven Associates</t>
  </si>
  <si>
    <t>1970/ 2020整修</t>
  </si>
  <si>
    <t>Germany</t>
  </si>
  <si>
    <t>Taipei Performing Arts Center</t>
  </si>
  <si>
    <t>OMA</t>
  </si>
  <si>
    <t>Taipei</t>
  </si>
  <si>
    <t>Asia</t>
  </si>
  <si>
    <t>B1-12F</t>
  </si>
  <si>
    <t>大劇院</t>
  </si>
  <si>
    <t>藍盒子</t>
  </si>
  <si>
    <t>500-800</t>
  </si>
  <si>
    <t>球劇場</t>
  </si>
  <si>
    <t>The Olivier Theatre</t>
  </si>
  <si>
    <t>https://www.archdaily.com/772979/ad-classics-royal-national-theatre-denys-lasdun</t>
  </si>
  <si>
    <t>Sir Denys Lasdun &amp; Partners</t>
  </si>
  <si>
    <t>London</t>
  </si>
  <si>
    <t>Olivier</t>
  </si>
  <si>
    <t>Thrust</t>
  </si>
  <si>
    <t>Lyttelton</t>
  </si>
  <si>
    <t>Dorfman</t>
  </si>
  <si>
    <t>No Fixed</t>
  </si>
  <si>
    <t>Black Box</t>
  </si>
  <si>
    <t>Guthrie Theater</t>
  </si>
  <si>
    <t>https://www.archiweb.cz/en/b/guthrie-theater</t>
  </si>
  <si>
    <t>Jean Nouvel + Architectural Alliance</t>
  </si>
  <si>
    <t>Minneapolis</t>
  </si>
  <si>
    <t>Wurtele Thrust Stage</t>
  </si>
  <si>
    <t>McGuire Proscenium</t>
  </si>
  <si>
    <t>Dowling Studio</t>
  </si>
  <si>
    <t>Chichester Festival Theatre</t>
  </si>
  <si>
    <t>https://www.archdaily.com/531377/chichester-festival-theatre-haworth-tompkins</t>
  </si>
  <si>
    <t>Philip Powell &amp; Hidalgo Moya</t>
  </si>
  <si>
    <t>Chichester</t>
  </si>
  <si>
    <t>Festival Theatre</t>
  </si>
  <si>
    <t>Minerva Theatre</t>
  </si>
  <si>
    <t>The Nest</t>
  </si>
  <si>
    <t>Stratford Festival Theatre</t>
  </si>
  <si>
    <t>https://www.stratfordfestival.ca/Visit/TheatreAndGuides</t>
  </si>
  <si>
    <t>Robert Fairfield</t>
  </si>
  <si>
    <t>Ontario</t>
  </si>
  <si>
    <t>Angus Bowmer Theatre</t>
  </si>
  <si>
    <r>
      <rPr>
        <color rgb="FF1155CC"/>
        <u/>
      </rPr>
      <t>Angus Bowmer Theatre - Oregon Shakespeare Festival</t>
    </r>
  </si>
  <si>
    <t>Kirk, Wallace &amp; McKinley</t>
  </si>
  <si>
    <t>Ashland</t>
  </si>
  <si>
    <t>Oregon Shakespeare Festival</t>
  </si>
  <si>
    <t>Alley Theatre</t>
  </si>
  <si>
    <r>
      <rPr>
        <color rgb="FF1155CC"/>
        <u/>
      </rPr>
      <t>Plan Your Visit - Alley Theatre</t>
    </r>
  </si>
  <si>
    <t>Richard Hay</t>
  </si>
  <si>
    <t>Houston</t>
  </si>
  <si>
    <t>Hubbard Theatre</t>
  </si>
  <si>
    <t>Neuhaus Theatre</t>
  </si>
  <si>
    <t>Arena</t>
  </si>
  <si>
    <t>宜蘭文化中心演藝廳</t>
  </si>
  <si>
    <t>劉可強建築師事務所</t>
  </si>
  <si>
    <t>Yilan</t>
  </si>
  <si>
    <t>Multimedia</t>
  </si>
  <si>
    <t>Cultural Center</t>
  </si>
  <si>
    <t>Allen Elizabethan Theatre at Lincoln Center</t>
  </si>
  <si>
    <t>Eero Saarinen</t>
  </si>
  <si>
    <t>Hong Kong Cultural Centre</t>
  </si>
  <si>
    <r>
      <rPr>
        <rFont val="Arial, sans-serif"/>
        <color rgb="FF1155CC"/>
        <u/>
      </rPr>
      <t>https://threshold.blog/2021/06/07/inception-hkcc/</t>
    </r>
    <r>
      <rPr>
        <rFont val="Arial, sans-serif"/>
        <color rgb="FF000000"/>
        <u/>
      </rPr>
      <t xml:space="preserve">
</t>
    </r>
    <r>
      <rPr>
        <rFont val="Arial, sans-serif"/>
        <color rgb="FF1155CC"/>
        <u/>
      </rPr>
      <t>https://threshold.blog/2020/11/29/3-signature-building-and-3-stages-of-hk-cultural-development/</t>
    </r>
    <r>
      <rPr>
        <rFont val="Arial, sans-serif"/>
        <color rgb="FF000000"/>
        <u/>
      </rPr>
      <t xml:space="preserve">
</t>
    </r>
    <r>
      <rPr>
        <rFont val="Arial, sans-serif"/>
        <color rgb="FF1155CC"/>
        <u/>
      </rPr>
      <t>https://cdn.i-scmp.com/sites/default/files/2014/11/01/20141102_review_cc11.jpg</t>
    </r>
    <r>
      <rPr>
        <rFont val="Arial, sans-serif"/>
        <color rgb="FF000000"/>
        <u/>
      </rPr>
      <t xml:space="preserve">
</t>
    </r>
    <r>
      <rPr>
        <rFont val="Arial, sans-serif"/>
        <color rgb="FF1155CC"/>
        <u/>
      </rPr>
      <t>https://ars.els-cdn.com/content/image/1-s2.0-S0197397512000513-gr9.jpg</t>
    </r>
  </si>
  <si>
    <t>José Lei, ArchSD</t>
  </si>
  <si>
    <t>Tsim Sha Tsui ,Hong Kong</t>
  </si>
  <si>
    <t>Vineyard</t>
  </si>
  <si>
    <t>Cultural Center, Plaza</t>
  </si>
  <si>
    <t>Grand Theatre</t>
  </si>
  <si>
    <t>Opera House, Playhouse</t>
  </si>
  <si>
    <t>Studio Theatre</t>
  </si>
  <si>
    <t>Module</t>
  </si>
  <si>
    <t>Experimental</t>
  </si>
  <si>
    <t>衛武營</t>
  </si>
  <si>
    <r>
      <rPr>
        <rFont val="Arial, sans-serif"/>
        <color rgb="FF1155CC"/>
        <u/>
      </rPr>
      <t>https://www.archdaily.cn/cn/904098/wei-wu-ying-guo-jia-yi-zhu-wen-hua-zhong-xin-mecanoo</t>
    </r>
    <r>
      <rPr>
        <rFont val="Arial, sans-serif"/>
        <color rgb="FF1155CC"/>
      </rPr>
      <t xml:space="preserve">
</t>
    </r>
    <r>
      <rPr>
        <rFont val="Arial, sans-serif"/>
        <color rgb="FF1155CC"/>
        <u/>
      </rPr>
      <t>https://www.npac-weiwuying.org/links/5bc0013f388608000524ff46</t>
    </r>
    <r>
      <rPr>
        <rFont val="Arial, sans-serif"/>
        <color rgb="FF1155CC"/>
      </rPr>
      <t xml:space="preserve">
</t>
    </r>
    <r>
      <rPr>
        <rFont val="Arial, sans-serif"/>
        <color rgb="FF1155CC"/>
        <u/>
      </rPr>
      <t>https://www.mecanoo.nl/Projects/project/54/National-Kaohsiung-Centre-for-the-Arts</t>
    </r>
  </si>
  <si>
    <t>Mecanoo/ 羅興華建築師事務所</t>
  </si>
  <si>
    <t>Fongshan, Kaohsiung</t>
  </si>
  <si>
    <t>歌劇院(Opera House)</t>
  </si>
  <si>
    <t>音樂廳(Concert Hall)</t>
  </si>
  <si>
    <t>戲劇院(Playhouse)</t>
  </si>
  <si>
    <t>Playhouse</t>
  </si>
  <si>
    <t>表演廳(Recital Hall)</t>
  </si>
  <si>
    <t>The Elbphilharmonie</t>
  </si>
  <si>
    <r>
      <rPr>
        <color rgb="FF1155CC"/>
        <u/>
      </rPr>
      <t>https://arquitecturaviva.com/works/elbphilharmonie-hamburg-6</t>
    </r>
    <r>
      <rPr/>
      <t xml:space="preserve">
</t>
    </r>
    <r>
      <rPr>
        <color rgb="FF1155CC"/>
        <u/>
      </rPr>
      <t>https://www.elbphilharmonie.de/en/the-halls#architektur-und-akustik</t>
    </r>
    <r>
      <rPr/>
      <t xml:space="preserve">
</t>
    </r>
    <r>
      <rPr>
        <color rgb="FF1155CC"/>
        <u/>
      </rPr>
      <t>https://www.herzogdemeuron.com/projects/230-elbphilharmonie-hamburg/</t>
    </r>
  </si>
  <si>
    <t>H&amp;deM</t>
  </si>
  <si>
    <t>1966(原倉庫)/
 2016(改建)</t>
  </si>
  <si>
    <t>HafenCity, Hamburg</t>
  </si>
  <si>
    <t>Großer Saal (Grand Hall)</t>
  </si>
  <si>
    <t>Hotel, Residential, Plaza</t>
  </si>
  <si>
    <t>Kleiner Saal (Recital Hall)</t>
  </si>
  <si>
    <t>Kaistudio 1</t>
  </si>
  <si>
    <t>Experimental, Rehearsal</t>
  </si>
  <si>
    <t>Studio Hall</t>
  </si>
  <si>
    <t>Helsinki Music Centre</t>
  </si>
  <si>
    <r>
      <rPr>
        <color rgb="FF1155CC"/>
        <u/>
      </rPr>
      <t>https://www.nagata-i.com/wp-content/uploads/2019/06/Helsinki_NAGATA.pdf</t>
    </r>
    <r>
      <rPr/>
      <t xml:space="preserve">
</t>
    </r>
    <r>
      <rPr>
        <color rgb="FF1155CC"/>
        <u/>
      </rPr>
      <t>https://ntustudio.wordpress.com/2017/10/16/helsinki-music-centre-2/</t>
    </r>
    <r>
      <rPr/>
      <t xml:space="preserve">
</t>
    </r>
    <r>
      <rPr>
        <color rgb="FF1155CC"/>
        <u/>
      </rPr>
      <t>https://ark-lpr.fi/en/projekti/helsinki-music-centre/</t>
    </r>
    <r>
      <rPr/>
      <t xml:space="preserve">
</t>
    </r>
    <r>
      <rPr>
        <color rgb="FF1155CC"/>
        <u/>
      </rPr>
      <t>https://musiikkitalo.fi/en/venue-hire/our-spaces</t>
    </r>
  </si>
  <si>
    <t>LPR Architects</t>
  </si>
  <si>
    <t>Kluuvi, Helsinki</t>
  </si>
  <si>
    <t>Cultural Center, Academy, Library, Plaza</t>
  </si>
  <si>
    <t>Paavo</t>
  </si>
  <si>
    <t>Camerata</t>
  </si>
  <si>
    <t>Organo</t>
  </si>
  <si>
    <t>Sonore</t>
  </si>
  <si>
    <t>Opera House, Rehearsal</t>
  </si>
  <si>
    <t>David Geffen Hall at Lincoln Center</t>
  </si>
  <si>
    <t>1962/ 2022</t>
  </si>
  <si>
    <t>DR Koncerthuset</t>
  </si>
  <si>
    <t>Jean Nouvel</t>
  </si>
  <si>
    <t>Copenhagen</t>
  </si>
  <si>
    <t xml:space="preserve"> Arena Stage at the Mead Center for American Theater</t>
  </si>
  <si>
    <r>
      <rPr>
        <color rgb="FF1155CC"/>
        <u/>
      </rPr>
      <t>https://www.arenastage.org/about-us/the-mead-center/</t>
    </r>
    <r>
      <rPr/>
      <t xml:space="preserve">
</t>
    </r>
    <r>
      <rPr>
        <color rgb="FF1155CC"/>
        <u/>
      </rPr>
      <t>https://www.archdaily.com/89124/arena-stage-bing-thom-architects</t>
    </r>
    <r>
      <rPr/>
      <t xml:space="preserve">
</t>
    </r>
    <r>
      <rPr>
        <color rgb="FF1155CC"/>
        <u/>
      </rPr>
      <t>https://structurecraft.com/projects/arena-stage-theate</t>
    </r>
  </si>
  <si>
    <t>Harry Weese(original building)/ 
Bing Thom Architects</t>
  </si>
  <si>
    <t>1961(The Fichandler Stage)/ 
1971(The Kreeger Theater)/ 
2010(改建)</t>
  </si>
  <si>
    <t>Southwest Waterfront, Washington</t>
  </si>
  <si>
    <t>The Fichandler Stage</t>
  </si>
  <si>
    <t>The Kreeger Theater</t>
  </si>
  <si>
    <t>The Arlene and Robert Kogod Cradle</t>
  </si>
  <si>
    <t>Pierre Boulez Saal</t>
  </si>
  <si>
    <r>
      <rPr>
        <color rgb="FF1155CC"/>
        <u/>
      </rPr>
      <t>https://www.marlowes.de/boulez_saal_berlin/</t>
    </r>
    <r>
      <rPr/>
      <t xml:space="preserve">
</t>
    </r>
    <r>
      <rPr>
        <color rgb="FF1155CC"/>
        <u/>
      </rPr>
      <t>https://www.nagata-i.com/wp-content/uploads/2019/06/PierreBoulezSaal_NAGATA.pdf</t>
    </r>
    <r>
      <rPr/>
      <t xml:space="preserve">
</t>
    </r>
    <r>
      <rPr>
        <color rgb="FF1155CC"/>
        <u/>
      </rPr>
      <t>https://www.boulezsaal.de/en/about-the-hall</t>
    </r>
  </si>
  <si>
    <t>Richard Paulick (original building)/ 
Frank Gehry</t>
  </si>
  <si>
    <t>1950(舊庫房)/ 
2017(改建)</t>
  </si>
  <si>
    <t>Mitte, Berlin</t>
  </si>
  <si>
    <t>Academy</t>
  </si>
  <si>
    <t>Royal Exchange in Manchester</t>
  </si>
  <si>
    <r>
      <rPr>
        <color rgb="FF1155CC"/>
        <u/>
      </rPr>
      <t>https://www.arup.com/globalassets/downloads/arup-journal/the-arup-journal-1976-issue-4.pdf</t>
    </r>
    <r>
      <rPr/>
      <t xml:space="preserve">
</t>
    </r>
    <r>
      <rPr>
        <color rgb="FF1155CC"/>
        <u/>
      </rPr>
      <t>https://manchesterhistory.net/manchester/tours/tour5/area5page8.html</t>
    </r>
    <r>
      <rPr/>
      <t xml:space="preserve">
</t>
    </r>
    <r>
      <rPr>
        <color rgb="FF1155CC"/>
        <u/>
      </rPr>
      <t>https://www.levittbernstein.co.uk/project-stories/royal-exchange-theatre/</t>
    </r>
    <r>
      <rPr/>
      <t xml:space="preserve">
</t>
    </r>
    <r>
      <rPr>
        <color rgb="FF1155CC"/>
        <u/>
      </rPr>
      <t>https://www.lucieiredale.com/work-1/sweat</t>
    </r>
  </si>
  <si>
    <t>Charles Mills, Bradshaw Gass &amp; Hope(擴建)/ 
Levitt Bernstein(修復)</t>
  </si>
  <si>
    <t>1809(原建物)/
1869–1921(擴建) /
1998(修復)</t>
  </si>
  <si>
    <t>Central Retail District, Manchester</t>
  </si>
  <si>
    <t>The Main Theatre</t>
  </si>
  <si>
    <t>Arcade, Plaza</t>
  </si>
  <si>
    <t>SESC Pompéia</t>
  </si>
  <si>
    <r>
      <rPr>
        <color rgb="FF1155CC"/>
        <u/>
      </rPr>
      <t>https://arquitecturaviva.com/works/sesc-fabrica-pompeia-9</t>
    </r>
    <r>
      <rPr/>
      <t xml:space="preserve">
</t>
    </r>
    <r>
      <rPr>
        <color rgb="FF1155CC"/>
        <u/>
      </rPr>
      <t>https://forgemind.net/media/sesc-pompeia-lina-bo-bardi/</t>
    </r>
    <r>
      <rPr/>
      <t xml:space="preserve">
</t>
    </r>
    <r>
      <rPr>
        <color rgb="FF1155CC"/>
        <u/>
      </rPr>
      <t>https://brasilarquitetura.com/project/sesc-fabrica-pompeia-lina</t>
    </r>
    <r>
      <rPr/>
      <t xml:space="preserve">
</t>
    </r>
    <r>
      <rPr>
        <color rgb="FF1155CC"/>
        <u/>
      </rPr>
      <t>https://archeyes.com/sesc-pompeia-factory-lina-bo-bardi-architecture-sao-paulo/</t>
    </r>
    <r>
      <rPr/>
      <t xml:space="preserve">
</t>
    </r>
    <r>
      <rPr>
        <color rgb="FF1155CC"/>
        <u/>
      </rPr>
      <t>https://www.slideshare.net/slideshow/sesc-pompeia-lina-bo-bardi-estudo-de-caso/46107482</t>
    </r>
  </si>
  <si>
    <t>Lina Bo Bardi</t>
  </si>
  <si>
    <t>1930(舊工廠)/ 
1982(改建)</t>
  </si>
  <si>
    <t>Pompéia, São Paulo</t>
  </si>
  <si>
    <t>South America</t>
  </si>
  <si>
    <t>Teatro do SESC Pompéia</t>
  </si>
  <si>
    <t>Bifrontal</t>
  </si>
  <si>
    <t>Cultural Center, Plaza, Gymnasium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</si>
</sst>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8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color rgb="FFCCCCCC"/>
      <name val="Arial"/>
      <scheme val="minor"/>
    </font>
    <font>
      <color rgb="FFCCCCCC"/>
      <name val="Arial"/>
    </font>
    <font>
      <color theme="1"/>
      <name val="&quot;Google Sans Text&quot;"/>
    </font>
    <font>
      <b/>
      <color rgb="FF000000"/>
      <name val="Arial"/>
    </font>
    <font>
      <u/>
      <color rgb="FF0000FF"/>
    </font>
    <font>
      <u/>
      <color rgb="FF0000FF"/>
    </font>
    <font>
      <b/>
      <color rgb="FFCCCCCC"/>
      <name val="Arial"/>
    </font>
    <font>
      <color rgb="FFFFFFFF"/>
      <name val="Arial"/>
    </font>
    <font>
      <u/>
      <color rgb="FF000000"/>
      <name val="Arial"/>
    </font>
    <font>
      <b/>
      <color rgb="FF000000"/>
      <name val="Arial"/>
      <scheme val="minor"/>
    </font>
    <font>
      <color rgb="FF000000"/>
      <name val="Arial"/>
      <scheme val="minor"/>
    </font>
    <font>
      <u/>
      <color rgb="FF1155CC"/>
      <name val="Arial"/>
    </font>
    <font>
      <b/>
      <color theme="1"/>
      <name val="Arial"/>
      <scheme val="minor"/>
    </font>
    <font>
      <u/>
      <color rgb="FF0000FF"/>
    </font>
    <font>
      <color rgb="FFFFFFFF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3D85C6"/>
        <bgColor rgb="FF3D85C6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EAD1DC"/>
        <bgColor rgb="FFEAD1DC"/>
      </patternFill>
    </fill>
  </fills>
  <borders count="1">
    <border/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vertical="center"/>
    </xf>
    <xf borderId="0" fillId="3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1" numFmtId="10" xfId="0" applyAlignment="1" applyFont="1" applyNumberFormat="1">
      <alignment horizontal="left" vertical="center"/>
    </xf>
    <xf borderId="0" fillId="0" fontId="1" numFmtId="0" xfId="0" applyAlignment="1" applyFont="1">
      <alignment horizontal="left" readingOrder="0" vertical="center"/>
    </xf>
    <xf borderId="0" fillId="0" fontId="1" numFmtId="3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3" xfId="0" applyAlignment="1" applyFont="1" applyNumberFormat="1">
      <alignment horizontal="left"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3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left" readingOrder="0" shrinkToFit="0" vertical="center" wrapText="0"/>
    </xf>
    <xf borderId="0" fillId="4" fontId="1" numFmtId="0" xfId="0" applyAlignment="1" applyFill="1" applyFont="1">
      <alignment horizontal="left" readingOrder="0" vertical="center"/>
    </xf>
    <xf borderId="0" fillId="0" fontId="7" numFmtId="0" xfId="0" applyAlignment="1" applyFont="1">
      <alignment horizontal="left" readingOrder="0" vertical="center"/>
    </xf>
    <xf borderId="0" fillId="0" fontId="1" numFmtId="10" xfId="0" applyAlignment="1" applyFont="1" applyNumberFormat="1">
      <alignment horizontal="left" readingOrder="0" vertical="center"/>
    </xf>
    <xf borderId="0" fillId="0" fontId="1" numFmtId="3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/>
    </xf>
    <xf borderId="0" fillId="4" fontId="3" numFmtId="0" xfId="0" applyAlignment="1" applyFont="1">
      <alignment horizontal="left" readingOrder="0" vertical="center"/>
    </xf>
    <xf borderId="0" fillId="0" fontId="3" numFmtId="0" xfId="0" applyFont="1"/>
    <xf borderId="0" fillId="0" fontId="3" numFmtId="0" xfId="0" applyAlignment="1" applyFont="1">
      <alignment readingOrder="0"/>
    </xf>
    <xf borderId="0" fillId="0" fontId="9" numFmtId="0" xfId="0" applyAlignment="1" applyFont="1">
      <alignment horizontal="left" readingOrder="0" shrinkToFit="0" vertical="center" wrapText="0"/>
    </xf>
    <xf borderId="0" fillId="5" fontId="10" numFmtId="0" xfId="0" applyAlignment="1" applyFill="1" applyFont="1">
      <alignment horizontal="left" readingOrder="0" shrinkToFit="0" vertical="center" wrapText="0"/>
    </xf>
    <xf borderId="0" fillId="0" fontId="1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horizontal="left" readingOrder="0" shrinkToFit="0" vertical="center" wrapText="0"/>
    </xf>
    <xf borderId="0" fillId="0" fontId="12" numFmtId="3" xfId="0" applyAlignment="1" applyFont="1" applyNumberFormat="1">
      <alignment horizontal="left" readingOrder="0"/>
    </xf>
    <xf borderId="0" fillId="0" fontId="12" numFmtId="0" xfId="0" applyAlignment="1" applyFont="1">
      <alignment horizontal="left" readingOrder="0" vertical="center"/>
    </xf>
    <xf borderId="0" fillId="0" fontId="2" numFmtId="3" xfId="0" applyAlignment="1" applyFont="1" applyNumberFormat="1">
      <alignment horizontal="left" readingOrder="0" shrinkToFit="0" vertical="center" wrapText="0"/>
    </xf>
    <xf borderId="0" fillId="0" fontId="13" numFmtId="10" xfId="0" applyAlignment="1" applyFont="1" applyNumberFormat="1">
      <alignment horizontal="left" vertical="center"/>
    </xf>
    <xf borderId="0" fillId="0" fontId="3" numFmtId="3" xfId="0" applyAlignment="1" applyFont="1" applyNumberFormat="1">
      <alignment horizontal="left" readingOrder="0"/>
    </xf>
    <xf borderId="0" fillId="0" fontId="14" numFmtId="0" xfId="0" applyAlignment="1" applyFont="1">
      <alignment horizontal="left" readingOrder="0" shrinkToFit="0" vertical="center" wrapText="0"/>
    </xf>
    <xf borderId="0" fillId="0" fontId="15" numFmtId="3" xfId="0" applyAlignment="1" applyFont="1" applyNumberFormat="1">
      <alignment horizontal="left" readingOrder="0"/>
    </xf>
    <xf borderId="0" fillId="0" fontId="6" numFmtId="3" xfId="0" applyAlignment="1" applyFont="1" applyNumberFormat="1">
      <alignment horizontal="left" readingOrder="0" shrinkToFit="0" vertical="center" wrapText="0"/>
    </xf>
    <xf borderId="0" fillId="0" fontId="15" numFmtId="0" xfId="0" applyAlignment="1" applyFont="1">
      <alignment horizontal="left" readingOrder="0" vertical="center"/>
    </xf>
    <xf borderId="0" fillId="0" fontId="15" numFmtId="3" xfId="0" applyAlignment="1" applyFont="1" applyNumberFormat="1">
      <alignment horizontal="left" readingOrder="0" vertical="center"/>
    </xf>
    <xf borderId="0" fillId="6" fontId="1" numFmtId="0" xfId="0" applyAlignment="1" applyFill="1" applyFont="1">
      <alignment horizontal="left" readingOrder="0" vertical="center"/>
    </xf>
    <xf borderId="0" fillId="0" fontId="16" numFmtId="0" xfId="0" applyAlignment="1" applyFont="1">
      <alignment horizontal="left" readingOrder="0" vertical="center"/>
    </xf>
    <xf borderId="0" fillId="0" fontId="12" numFmtId="3" xfId="0" applyAlignment="1" applyFont="1" applyNumberFormat="1">
      <alignment horizontal="left" readingOrder="0" vertical="center"/>
    </xf>
    <xf borderId="0" fillId="0" fontId="13" numFmtId="3" xfId="0" applyAlignment="1" applyFont="1" applyNumberFormat="1">
      <alignment horizontal="left" readingOrder="0" vertical="center"/>
    </xf>
    <xf borderId="0" fillId="7" fontId="17" numFmtId="0" xfId="0" applyAlignment="1" applyFill="1" applyFont="1">
      <alignment horizontal="left" readingOrder="0" vertical="center"/>
    </xf>
    <xf borderId="0" fillId="8" fontId="1" numFmtId="0" xfId="0" applyAlignment="1" applyFill="1" applyFont="1">
      <alignment horizontal="left" readingOrder="0" vertical="center"/>
    </xf>
    <xf borderId="0" fillId="0" fontId="15" numFmtId="3" xfId="0" applyAlignment="1" applyFont="1" applyNumberFormat="1">
      <alignment readingOrder="0" vertical="center"/>
    </xf>
    <xf borderId="0" fillId="0" fontId="1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arenastage.org/about-us/the-mead-center/" TargetMode="External"/><Relationship Id="rId10" Type="http://schemas.openxmlformats.org/officeDocument/2006/relationships/hyperlink" Target="https://www.nagata-i.com/wp-content/uploads/2019/06/Helsinki_NAGATA.pdf" TargetMode="External"/><Relationship Id="rId13" Type="http://schemas.openxmlformats.org/officeDocument/2006/relationships/hyperlink" Target="https://www.arup.com/globalassets/downloads/arup-journal/the-arup-journal-1976-issue-4.pdf" TargetMode="External"/><Relationship Id="rId12" Type="http://schemas.openxmlformats.org/officeDocument/2006/relationships/hyperlink" Target="https://www.marlowes.de/boulez_saal_berlin/" TargetMode="External"/><Relationship Id="rId1" Type="http://schemas.openxmlformats.org/officeDocument/2006/relationships/hyperlink" Target="https://www.archdaily.com/772979/ad-classics-royal-national-theatre-denys-lasdun" TargetMode="External"/><Relationship Id="rId2" Type="http://schemas.openxmlformats.org/officeDocument/2006/relationships/hyperlink" Target="https://www.archiweb.cz/en/b/guthrie-theater" TargetMode="External"/><Relationship Id="rId3" Type="http://schemas.openxmlformats.org/officeDocument/2006/relationships/hyperlink" Target="https://www.archdaily.com/531377/chichester-festival-theatre-haworth-tompkins" TargetMode="External"/><Relationship Id="rId4" Type="http://schemas.openxmlformats.org/officeDocument/2006/relationships/hyperlink" Target="https://www.stratfordfestival.ca/Visit/TheatreAndGuides" TargetMode="External"/><Relationship Id="rId9" Type="http://schemas.openxmlformats.org/officeDocument/2006/relationships/hyperlink" Target="https://arquitecturaviva.com/works/elbphilharmonie-hamburg-6" TargetMode="External"/><Relationship Id="rId15" Type="http://schemas.openxmlformats.org/officeDocument/2006/relationships/drawing" Target="../drawings/drawing1.xml"/><Relationship Id="rId14" Type="http://schemas.openxmlformats.org/officeDocument/2006/relationships/hyperlink" Target="https://arquitecturaviva.com/works/sesc-fabrica-pompeia-9" TargetMode="External"/><Relationship Id="rId5" Type="http://schemas.openxmlformats.org/officeDocument/2006/relationships/hyperlink" Target="https://www.osfashland.org/en/company/our-history/performance-spaces/angus-bowmer.aspx" TargetMode="External"/><Relationship Id="rId6" Type="http://schemas.openxmlformats.org/officeDocument/2006/relationships/hyperlink" Target="https://www.alleytheatre.org/plan-your-visit/" TargetMode="External"/><Relationship Id="rId7" Type="http://schemas.openxmlformats.org/officeDocument/2006/relationships/hyperlink" Target="https://threshold.blog/2021/06/07/inception-hkcc/" TargetMode="External"/><Relationship Id="rId8" Type="http://schemas.openxmlformats.org/officeDocument/2006/relationships/hyperlink" Target="https://www.archdaily.cn/cn/904098/wei-wu-ying-guo-jia-yi-zhu-wen-hua-zhong-xin-mecano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6.25"/>
    <col customWidth="1" min="2" max="2" width="16.5"/>
    <col customWidth="1" min="3" max="3" width="35.13"/>
    <col customWidth="1" min="4" max="4" width="23.13"/>
    <col customWidth="1" min="5" max="5" width="26.63"/>
    <col customWidth="1" min="6" max="6" width="16.88"/>
    <col customWidth="1" min="7" max="7" width="6.75"/>
    <col customWidth="1" min="8" max="8" width="20.5"/>
    <col customWidth="1" min="9" max="9" width="13.63"/>
    <col customWidth="1" min="10" max="10" width="14.0"/>
    <col customWidth="1" min="11" max="11" width="26.38"/>
    <col customWidth="1" min="12" max="12" width="15.38"/>
    <col customWidth="1" min="13" max="14" width="15.88"/>
    <col customWidth="1" min="15" max="15" width="7.38"/>
    <col customWidth="1" min="16" max="16" width="11.0"/>
    <col customWidth="1" min="17" max="17" width="3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s="2" t="s">
        <v>17</v>
      </c>
      <c r="B2" s="3"/>
      <c r="C2" s="4" t="s">
        <v>18</v>
      </c>
      <c r="D2" s="4">
        <v>2007.0</v>
      </c>
      <c r="E2" s="4" t="s">
        <v>19</v>
      </c>
      <c r="F2" s="4" t="s">
        <v>20</v>
      </c>
      <c r="G2" s="3"/>
      <c r="H2" s="3"/>
      <c r="I2" s="4">
        <v>1370.0</v>
      </c>
      <c r="J2" s="5"/>
      <c r="K2" s="5"/>
      <c r="L2" s="4" t="s">
        <v>21</v>
      </c>
      <c r="M2" s="3"/>
      <c r="N2" s="3"/>
      <c r="O2" s="3"/>
      <c r="P2" s="6"/>
      <c r="Q2" s="3"/>
    </row>
    <row r="3">
      <c r="A3" s="2" t="s">
        <v>22</v>
      </c>
      <c r="B3" s="4"/>
      <c r="C3" s="7" t="s">
        <v>23</v>
      </c>
      <c r="D3" s="4">
        <v>1966.0</v>
      </c>
      <c r="E3" s="4" t="s">
        <v>24</v>
      </c>
      <c r="F3" s="4" t="s">
        <v>25</v>
      </c>
      <c r="G3" s="4">
        <v>10.0</v>
      </c>
      <c r="H3" s="8"/>
      <c r="I3" s="8">
        <v>3975.0</v>
      </c>
      <c r="J3" s="4"/>
      <c r="K3" s="4" t="s">
        <v>26</v>
      </c>
      <c r="L3" s="4" t="s">
        <v>21</v>
      </c>
      <c r="M3" s="8"/>
      <c r="N3" s="8"/>
      <c r="O3" s="8">
        <v>9011.0</v>
      </c>
      <c r="P3" s="6"/>
      <c r="Q3" s="3"/>
    </row>
    <row r="4">
      <c r="A4" s="2" t="s">
        <v>27</v>
      </c>
      <c r="B4" s="3"/>
      <c r="C4" s="7" t="s">
        <v>28</v>
      </c>
      <c r="D4" s="4" t="s">
        <v>29</v>
      </c>
      <c r="E4" s="4" t="s">
        <v>24</v>
      </c>
      <c r="F4" s="4" t="s">
        <v>25</v>
      </c>
      <c r="G4" s="9">
        <v>46082.0</v>
      </c>
      <c r="H4" s="10" t="s">
        <v>30</v>
      </c>
      <c r="I4" s="11">
        <v>1086.0</v>
      </c>
      <c r="J4" s="12" t="s">
        <v>31</v>
      </c>
      <c r="K4" s="12" t="s">
        <v>32</v>
      </c>
      <c r="L4" s="10" t="s">
        <v>33</v>
      </c>
      <c r="M4" s="8"/>
      <c r="N4" s="8">
        <v>22000.0</v>
      </c>
      <c r="O4" s="13">
        <v>50000.0</v>
      </c>
      <c r="P4" s="6">
        <f>N4/O4</f>
        <v>0.44</v>
      </c>
      <c r="Q4" s="4" t="s">
        <v>34</v>
      </c>
    </row>
    <row r="5">
      <c r="H5" s="10" t="s">
        <v>35</v>
      </c>
      <c r="I5" s="10">
        <v>915.0</v>
      </c>
      <c r="J5" s="12" t="s">
        <v>31</v>
      </c>
      <c r="K5" s="12" t="s">
        <v>26</v>
      </c>
      <c r="L5" s="10" t="s">
        <v>33</v>
      </c>
      <c r="M5" s="8"/>
    </row>
    <row r="6">
      <c r="H6" s="10" t="s">
        <v>36</v>
      </c>
      <c r="I6" s="10">
        <v>278.0</v>
      </c>
      <c r="J6" s="12" t="s">
        <v>31</v>
      </c>
      <c r="K6" s="12" t="s">
        <v>32</v>
      </c>
      <c r="L6" s="10" t="s">
        <v>33</v>
      </c>
      <c r="M6" s="8"/>
    </row>
    <row r="7">
      <c r="H7" s="10" t="s">
        <v>37</v>
      </c>
      <c r="I7" s="10">
        <v>188.0</v>
      </c>
      <c r="J7" s="12"/>
      <c r="K7" s="12"/>
      <c r="L7" s="10"/>
      <c r="M7" s="8"/>
    </row>
    <row r="8">
      <c r="H8" s="10" t="s">
        <v>38</v>
      </c>
      <c r="I8" s="10">
        <v>150.0</v>
      </c>
      <c r="J8" s="12"/>
      <c r="K8" s="12"/>
      <c r="L8" s="10"/>
      <c r="M8" s="8"/>
    </row>
    <row r="9">
      <c r="H9" s="10" t="s">
        <v>39</v>
      </c>
      <c r="I9" s="14"/>
      <c r="J9" s="12"/>
      <c r="K9" s="12"/>
      <c r="L9" s="10"/>
      <c r="M9" s="8"/>
    </row>
    <row r="10">
      <c r="A10" s="2" t="s">
        <v>40</v>
      </c>
      <c r="B10" s="3"/>
      <c r="C10" s="4" t="s">
        <v>41</v>
      </c>
      <c r="D10" s="3"/>
      <c r="E10" s="4" t="s">
        <v>24</v>
      </c>
      <c r="F10" s="4" t="s">
        <v>25</v>
      </c>
      <c r="G10" s="3"/>
      <c r="H10" s="3"/>
      <c r="I10" s="4"/>
      <c r="J10" s="15"/>
      <c r="K10" s="5" t="s">
        <v>42</v>
      </c>
      <c r="L10" s="4" t="s">
        <v>33</v>
      </c>
      <c r="M10" s="8"/>
      <c r="N10" s="8"/>
      <c r="O10" s="8"/>
      <c r="P10" s="6"/>
      <c r="Q10" s="3"/>
    </row>
    <row r="11">
      <c r="A11" s="2" t="s">
        <v>43</v>
      </c>
      <c r="B11" s="3"/>
      <c r="C11" s="4" t="s">
        <v>44</v>
      </c>
      <c r="D11" s="4">
        <v>2002.0</v>
      </c>
      <c r="E11" s="4" t="s">
        <v>45</v>
      </c>
      <c r="F11" s="4" t="s">
        <v>46</v>
      </c>
      <c r="G11" s="3"/>
      <c r="H11" s="3"/>
      <c r="I11" s="4">
        <v>2375.0</v>
      </c>
      <c r="J11" s="15"/>
      <c r="K11" s="5"/>
      <c r="L11" s="4" t="s">
        <v>21</v>
      </c>
      <c r="M11" s="8"/>
      <c r="N11" s="8"/>
      <c r="O11" s="8"/>
      <c r="P11" s="6"/>
      <c r="Q11" s="3"/>
    </row>
    <row r="12">
      <c r="A12" s="2" t="s">
        <v>47</v>
      </c>
      <c r="B12" s="3"/>
      <c r="C12" s="4" t="s">
        <v>48</v>
      </c>
      <c r="D12" s="4" t="s">
        <v>49</v>
      </c>
      <c r="E12" s="4" t="s">
        <v>50</v>
      </c>
      <c r="F12" s="4" t="s">
        <v>46</v>
      </c>
      <c r="G12" s="3"/>
      <c r="H12" s="3"/>
      <c r="I12" s="4">
        <v>2292.0</v>
      </c>
      <c r="J12" s="15"/>
      <c r="K12" s="5"/>
      <c r="L12" s="4" t="s">
        <v>21</v>
      </c>
      <c r="M12" s="8"/>
      <c r="N12" s="8"/>
      <c r="O12" s="8"/>
      <c r="P12" s="6"/>
      <c r="Q12" s="3"/>
    </row>
    <row r="13">
      <c r="A13" s="2" t="s">
        <v>51</v>
      </c>
      <c r="B13" s="3"/>
      <c r="C13" s="4" t="s">
        <v>52</v>
      </c>
      <c r="D13" s="4" t="s">
        <v>53</v>
      </c>
      <c r="E13" s="4" t="s">
        <v>54</v>
      </c>
      <c r="F13" s="4" t="s">
        <v>46</v>
      </c>
      <c r="G13" s="3"/>
      <c r="H13" s="3"/>
      <c r="I13" s="4">
        <v>760.0</v>
      </c>
      <c r="J13" s="15"/>
      <c r="K13" s="5"/>
      <c r="L13" s="4" t="s">
        <v>21</v>
      </c>
      <c r="M13" s="8"/>
      <c r="N13" s="8"/>
      <c r="O13" s="8"/>
      <c r="P13" s="6"/>
      <c r="Q13" s="3"/>
    </row>
    <row r="14">
      <c r="A14" s="2" t="s">
        <v>55</v>
      </c>
      <c r="B14" s="3"/>
      <c r="C14" s="4" t="s">
        <v>56</v>
      </c>
      <c r="D14" s="4">
        <v>2022.0</v>
      </c>
      <c r="E14" s="4" t="s">
        <v>57</v>
      </c>
      <c r="F14" s="4" t="s">
        <v>58</v>
      </c>
      <c r="G14" s="4" t="s">
        <v>59</v>
      </c>
      <c r="H14" s="4" t="s">
        <v>60</v>
      </c>
      <c r="I14" s="4">
        <v>1454.0</v>
      </c>
      <c r="J14" s="15"/>
      <c r="K14" s="5"/>
      <c r="L14" s="4" t="s">
        <v>21</v>
      </c>
      <c r="M14" s="8"/>
      <c r="N14" s="8"/>
      <c r="O14" s="8"/>
      <c r="P14" s="6"/>
      <c r="Q14" s="3"/>
    </row>
    <row r="15">
      <c r="H15" s="4" t="s">
        <v>61</v>
      </c>
      <c r="I15" s="4" t="s">
        <v>62</v>
      </c>
      <c r="J15" s="15"/>
      <c r="K15" s="5"/>
      <c r="L15" s="4" t="s">
        <v>21</v>
      </c>
      <c r="M15" s="8"/>
      <c r="N15" s="8"/>
      <c r="O15" s="8"/>
      <c r="P15" s="6"/>
      <c r="Q15" s="3"/>
    </row>
    <row r="16">
      <c r="H16" s="4" t="s">
        <v>63</v>
      </c>
      <c r="I16" s="4">
        <v>776.0</v>
      </c>
      <c r="J16" s="15"/>
      <c r="K16" s="5"/>
      <c r="L16" s="4" t="s">
        <v>21</v>
      </c>
      <c r="M16" s="8"/>
      <c r="N16" s="8"/>
      <c r="O16" s="8"/>
      <c r="P16" s="6"/>
      <c r="Q16" s="3"/>
    </row>
    <row r="17">
      <c r="A17" s="16" t="s">
        <v>64</v>
      </c>
      <c r="B17" s="17" t="s">
        <v>65</v>
      </c>
      <c r="C17" s="4" t="s">
        <v>66</v>
      </c>
      <c r="D17" s="4">
        <v>1976.0</v>
      </c>
      <c r="E17" s="4" t="s">
        <v>67</v>
      </c>
      <c r="F17" s="4" t="s">
        <v>46</v>
      </c>
      <c r="G17" s="3"/>
      <c r="H17" s="4" t="s">
        <v>68</v>
      </c>
      <c r="I17" s="4">
        <v>1100.0</v>
      </c>
      <c r="J17" s="15" t="s">
        <v>31</v>
      </c>
      <c r="K17" s="5"/>
      <c r="L17" s="4" t="s">
        <v>69</v>
      </c>
      <c r="M17" s="8"/>
      <c r="N17" s="8">
        <v>7500.0</v>
      </c>
      <c r="O17" s="8">
        <v>27000.0</v>
      </c>
      <c r="P17" s="18">
        <f>N17/O17</f>
        <v>0.2777777778</v>
      </c>
      <c r="Q17" s="3"/>
    </row>
    <row r="18">
      <c r="B18" s="4"/>
      <c r="G18" s="4"/>
      <c r="H18" s="4" t="s">
        <v>70</v>
      </c>
      <c r="I18" s="4">
        <v>890.0</v>
      </c>
      <c r="J18" s="15" t="s">
        <v>31</v>
      </c>
      <c r="K18" s="5"/>
      <c r="L18" s="4" t="s">
        <v>21</v>
      </c>
      <c r="M18" s="8"/>
      <c r="Q18" s="3"/>
    </row>
    <row r="19">
      <c r="B19" s="4"/>
      <c r="G19" s="4"/>
      <c r="H19" s="4" t="s">
        <v>71</v>
      </c>
      <c r="I19" s="4">
        <v>400.0</v>
      </c>
      <c r="J19" s="15" t="s">
        <v>72</v>
      </c>
      <c r="K19" s="5"/>
      <c r="L19" s="4" t="s">
        <v>73</v>
      </c>
      <c r="M19" s="8"/>
      <c r="Q19" s="3"/>
    </row>
    <row r="20">
      <c r="A20" s="16" t="s">
        <v>74</v>
      </c>
      <c r="B20" s="17" t="s">
        <v>75</v>
      </c>
      <c r="C20" s="4" t="s">
        <v>76</v>
      </c>
      <c r="D20" s="4">
        <v>2006.0</v>
      </c>
      <c r="E20" s="4" t="s">
        <v>77</v>
      </c>
      <c r="F20" s="4" t="s">
        <v>25</v>
      </c>
      <c r="G20" s="4">
        <v>9.0</v>
      </c>
      <c r="H20" s="4" t="s">
        <v>78</v>
      </c>
      <c r="I20" s="4">
        <v>1100.0</v>
      </c>
      <c r="J20" s="15" t="s">
        <v>31</v>
      </c>
      <c r="K20" s="5"/>
      <c r="L20" s="4" t="s">
        <v>69</v>
      </c>
      <c r="M20" s="8"/>
      <c r="N20" s="8">
        <v>8500.0</v>
      </c>
      <c r="O20" s="8">
        <v>22297.0</v>
      </c>
      <c r="P20" s="18">
        <f>N20/O20</f>
        <v>0.3812172041</v>
      </c>
      <c r="Q20" s="3"/>
    </row>
    <row r="21">
      <c r="B21" s="4"/>
      <c r="H21" s="4" t="s">
        <v>79</v>
      </c>
      <c r="I21" s="4">
        <v>700.0</v>
      </c>
      <c r="J21" s="15" t="s">
        <v>31</v>
      </c>
      <c r="K21" s="5"/>
      <c r="L21" s="4" t="s">
        <v>21</v>
      </c>
      <c r="M21" s="8"/>
      <c r="Q21" s="3"/>
      <c r="U21" s="19"/>
    </row>
    <row r="22">
      <c r="B22" s="4"/>
      <c r="H22" s="4" t="s">
        <v>80</v>
      </c>
      <c r="I22" s="4">
        <v>199.0</v>
      </c>
      <c r="J22" s="15" t="s">
        <v>72</v>
      </c>
      <c r="K22" s="5"/>
      <c r="L22" s="4" t="s">
        <v>73</v>
      </c>
      <c r="M22" s="8"/>
      <c r="Q22" s="3"/>
    </row>
    <row r="23">
      <c r="A23" s="16" t="s">
        <v>81</v>
      </c>
      <c r="B23" s="17" t="s">
        <v>82</v>
      </c>
      <c r="C23" s="4" t="s">
        <v>83</v>
      </c>
      <c r="D23" s="4">
        <v>1962.0</v>
      </c>
      <c r="E23" s="4" t="s">
        <v>84</v>
      </c>
      <c r="F23" s="4" t="s">
        <v>25</v>
      </c>
      <c r="G23" s="4">
        <v>3.0</v>
      </c>
      <c r="H23" s="4" t="s">
        <v>85</v>
      </c>
      <c r="I23" s="4">
        <v>1206.0</v>
      </c>
      <c r="J23" s="15" t="s">
        <v>31</v>
      </c>
      <c r="K23" s="5"/>
      <c r="L23" s="4" t="s">
        <v>69</v>
      </c>
      <c r="M23" s="8"/>
      <c r="N23" s="8">
        <v>3200.0</v>
      </c>
      <c r="O23" s="8">
        <v>7500.0</v>
      </c>
      <c r="P23" s="6">
        <f>N23/O23</f>
        <v>0.4266666667</v>
      </c>
      <c r="Q23" s="3"/>
    </row>
    <row r="24">
      <c r="B24" s="3"/>
      <c r="H24" s="4" t="s">
        <v>86</v>
      </c>
      <c r="I24" s="4">
        <v>283.0</v>
      </c>
      <c r="J24" s="15" t="s">
        <v>72</v>
      </c>
      <c r="K24" s="5"/>
      <c r="L24" s="4" t="s">
        <v>73</v>
      </c>
      <c r="M24" s="8"/>
      <c r="Q24" s="3"/>
    </row>
    <row r="25">
      <c r="B25" s="3"/>
      <c r="H25" s="4" t="s">
        <v>87</v>
      </c>
      <c r="I25" s="4">
        <v>160.0</v>
      </c>
      <c r="J25" s="15" t="s">
        <v>72</v>
      </c>
      <c r="K25" s="5"/>
      <c r="L25" s="4" t="s">
        <v>21</v>
      </c>
      <c r="M25" s="8"/>
      <c r="Q25" s="3"/>
    </row>
    <row r="26">
      <c r="A26" s="16" t="s">
        <v>88</v>
      </c>
      <c r="B26" s="17" t="s">
        <v>89</v>
      </c>
      <c r="C26" s="4" t="s">
        <v>90</v>
      </c>
      <c r="D26" s="4">
        <v>1957.0</v>
      </c>
      <c r="E26" s="4" t="s">
        <v>91</v>
      </c>
      <c r="F26" s="4" t="s">
        <v>25</v>
      </c>
      <c r="G26" s="4">
        <v>2.0</v>
      </c>
      <c r="H26" s="4" t="s">
        <v>85</v>
      </c>
      <c r="I26" s="4">
        <v>2192.0</v>
      </c>
      <c r="J26" s="15" t="s">
        <v>31</v>
      </c>
      <c r="K26" s="5"/>
      <c r="L26" s="4" t="s">
        <v>69</v>
      </c>
      <c r="M26" s="8"/>
      <c r="N26" s="8">
        <v>3500.0</v>
      </c>
      <c r="O26" s="8">
        <v>7150.0</v>
      </c>
      <c r="P26" s="6">
        <f t="shared" ref="P26:P28" si="1">N26/O26</f>
        <v>0.4895104895</v>
      </c>
      <c r="Q26" s="3"/>
    </row>
    <row r="27">
      <c r="A27" s="16" t="s">
        <v>92</v>
      </c>
      <c r="B27" s="20" t="s">
        <v>93</v>
      </c>
      <c r="C27" s="4" t="s">
        <v>94</v>
      </c>
      <c r="D27" s="4">
        <v>1970.0</v>
      </c>
      <c r="E27" s="4" t="s">
        <v>95</v>
      </c>
      <c r="F27" s="4" t="s">
        <v>25</v>
      </c>
      <c r="G27" s="4">
        <v>3.0</v>
      </c>
      <c r="H27" s="4" t="s">
        <v>96</v>
      </c>
      <c r="I27" s="4">
        <v>600.0</v>
      </c>
      <c r="J27" s="15" t="s">
        <v>31</v>
      </c>
      <c r="K27" s="5"/>
      <c r="L27" s="4" t="s">
        <v>69</v>
      </c>
      <c r="M27" s="8"/>
      <c r="N27" s="8">
        <v>3800.0</v>
      </c>
      <c r="O27" s="8">
        <v>7150.0</v>
      </c>
      <c r="P27" s="6">
        <f t="shared" si="1"/>
        <v>0.5314685315</v>
      </c>
      <c r="Q27" s="3"/>
    </row>
    <row r="28">
      <c r="A28" s="16" t="s">
        <v>97</v>
      </c>
      <c r="B28" s="20" t="s">
        <v>98</v>
      </c>
      <c r="C28" s="4" t="s">
        <v>99</v>
      </c>
      <c r="D28" s="4">
        <v>1935.0</v>
      </c>
      <c r="E28" s="4" t="s">
        <v>100</v>
      </c>
      <c r="F28" s="4" t="s">
        <v>25</v>
      </c>
      <c r="G28" s="3"/>
      <c r="H28" s="4" t="s">
        <v>101</v>
      </c>
      <c r="I28" s="4">
        <v>775.0</v>
      </c>
      <c r="J28" s="15" t="s">
        <v>72</v>
      </c>
      <c r="K28" s="5"/>
      <c r="L28" s="4" t="s">
        <v>69</v>
      </c>
      <c r="M28" s="8"/>
      <c r="N28" s="8">
        <v>1800.0</v>
      </c>
      <c r="O28" s="8">
        <v>5500.0</v>
      </c>
      <c r="P28" s="6">
        <f t="shared" si="1"/>
        <v>0.3272727273</v>
      </c>
      <c r="Q28" s="3"/>
    </row>
    <row r="29">
      <c r="B29" s="3"/>
      <c r="G29" s="3"/>
      <c r="H29" s="4" t="s">
        <v>102</v>
      </c>
      <c r="I29" s="4">
        <v>296.0</v>
      </c>
      <c r="J29" s="15" t="s">
        <v>72</v>
      </c>
      <c r="K29" s="5"/>
      <c r="L29" s="4" t="s">
        <v>103</v>
      </c>
      <c r="M29" s="8"/>
      <c r="N29" s="8"/>
      <c r="P29" s="6"/>
      <c r="Q29" s="4"/>
    </row>
    <row r="30">
      <c r="A30" s="16" t="s">
        <v>104</v>
      </c>
      <c r="B30" s="3"/>
      <c r="C30" s="4" t="s">
        <v>105</v>
      </c>
      <c r="D30" s="4">
        <v>1984.0</v>
      </c>
      <c r="E30" s="4" t="s">
        <v>106</v>
      </c>
      <c r="F30" s="4" t="s">
        <v>58</v>
      </c>
      <c r="G30" s="3"/>
      <c r="H30" s="4"/>
      <c r="I30" s="4">
        <v>800.0</v>
      </c>
      <c r="J30" s="15" t="s">
        <v>31</v>
      </c>
      <c r="K30" s="5" t="s">
        <v>107</v>
      </c>
      <c r="L30" s="4" t="s">
        <v>69</v>
      </c>
      <c r="M30" s="8"/>
      <c r="N30" s="8">
        <v>1200.0</v>
      </c>
      <c r="O30" s="21">
        <v>2500.0</v>
      </c>
      <c r="P30" s="6">
        <f>N30/O30</f>
        <v>0.48</v>
      </c>
      <c r="Q30" s="4" t="s">
        <v>108</v>
      </c>
    </row>
    <row r="31">
      <c r="A31" s="22" t="s">
        <v>109</v>
      </c>
      <c r="B31" s="23"/>
      <c r="C31" s="24" t="s">
        <v>110</v>
      </c>
      <c r="D31" s="23"/>
      <c r="E31" s="10" t="s">
        <v>24</v>
      </c>
      <c r="F31" s="10" t="s">
        <v>25</v>
      </c>
      <c r="G31" s="23"/>
      <c r="H31" s="23"/>
      <c r="I31" s="23"/>
      <c r="J31" s="25" t="s">
        <v>72</v>
      </c>
      <c r="K31" s="23"/>
      <c r="L31" s="10" t="s">
        <v>69</v>
      </c>
      <c r="M31" s="11"/>
      <c r="N31" s="11"/>
    </row>
    <row r="32">
      <c r="A32" s="26" t="s">
        <v>111</v>
      </c>
      <c r="B32" s="27" t="s">
        <v>112</v>
      </c>
      <c r="C32" s="5" t="s">
        <v>113</v>
      </c>
      <c r="D32" s="4">
        <v>1989.0</v>
      </c>
      <c r="E32" s="5" t="s">
        <v>114</v>
      </c>
      <c r="F32" s="5" t="s">
        <v>58</v>
      </c>
      <c r="G32" s="28">
        <v>46204.0</v>
      </c>
      <c r="H32" s="29" t="s">
        <v>42</v>
      </c>
      <c r="I32" s="29">
        <v>1971.0</v>
      </c>
      <c r="J32" s="15" t="s">
        <v>31</v>
      </c>
      <c r="K32" s="15" t="s">
        <v>42</v>
      </c>
      <c r="L32" s="30" t="s">
        <v>115</v>
      </c>
      <c r="M32" s="31"/>
      <c r="N32" s="31">
        <v>53000.0</v>
      </c>
      <c r="O32" s="31">
        <v>82000.0</v>
      </c>
      <c r="P32" s="32">
        <f>N32/O32</f>
        <v>0.6463414634</v>
      </c>
      <c r="Q32" s="4" t="s">
        <v>116</v>
      </c>
    </row>
    <row r="33">
      <c r="H33" s="29" t="s">
        <v>117</v>
      </c>
      <c r="I33" s="29">
        <v>1734.0</v>
      </c>
      <c r="J33" s="15" t="s">
        <v>31</v>
      </c>
      <c r="K33" s="15" t="s">
        <v>118</v>
      </c>
      <c r="L33" s="30" t="s">
        <v>21</v>
      </c>
      <c r="M33" s="31"/>
    </row>
    <row r="34">
      <c r="H34" s="33" t="s">
        <v>119</v>
      </c>
      <c r="I34" s="33">
        <v>496.0</v>
      </c>
      <c r="J34" s="33" t="s">
        <v>120</v>
      </c>
      <c r="K34" s="33" t="s">
        <v>121</v>
      </c>
      <c r="L34" s="33" t="s">
        <v>73</v>
      </c>
      <c r="M34" s="31"/>
    </row>
    <row r="35">
      <c r="A35" s="26" t="s">
        <v>122</v>
      </c>
      <c r="B35" s="34" t="s">
        <v>123</v>
      </c>
      <c r="C35" s="5" t="s">
        <v>124</v>
      </c>
      <c r="D35" s="4">
        <v>2017.0</v>
      </c>
      <c r="E35" s="5" t="s">
        <v>125</v>
      </c>
      <c r="F35" s="5" t="s">
        <v>58</v>
      </c>
      <c r="G35" s="28">
        <v>46082.0</v>
      </c>
      <c r="H35" s="35" t="s">
        <v>126</v>
      </c>
      <c r="I35" s="36">
        <v>2234.0</v>
      </c>
      <c r="J35" s="15" t="s">
        <v>31</v>
      </c>
      <c r="K35" s="15" t="s">
        <v>26</v>
      </c>
      <c r="L35" s="37" t="s">
        <v>21</v>
      </c>
      <c r="M35" s="31"/>
      <c r="N35" s="31">
        <v>85000.0</v>
      </c>
      <c r="O35" s="31">
        <v>141000.0</v>
      </c>
      <c r="P35" s="6">
        <f>N35/O35</f>
        <v>0.6028368794</v>
      </c>
      <c r="Q35" s="4" t="s">
        <v>116</v>
      </c>
    </row>
    <row r="36">
      <c r="H36" s="35" t="s">
        <v>127</v>
      </c>
      <c r="I36" s="38">
        <v>1981.0</v>
      </c>
      <c r="J36" s="15" t="s">
        <v>31</v>
      </c>
      <c r="K36" s="37" t="s">
        <v>42</v>
      </c>
      <c r="L36" s="37" t="s">
        <v>115</v>
      </c>
      <c r="M36" s="31"/>
    </row>
    <row r="37">
      <c r="H37" s="35" t="s">
        <v>128</v>
      </c>
      <c r="I37" s="38">
        <v>1210.0</v>
      </c>
      <c r="J37" s="15" t="s">
        <v>31</v>
      </c>
      <c r="K37" s="37" t="s">
        <v>129</v>
      </c>
      <c r="L37" s="37" t="s">
        <v>69</v>
      </c>
      <c r="M37" s="31"/>
    </row>
    <row r="38">
      <c r="H38" s="33" t="s">
        <v>130</v>
      </c>
      <c r="I38" s="33">
        <v>434.0</v>
      </c>
      <c r="J38" s="33" t="s">
        <v>31</v>
      </c>
      <c r="K38" s="33" t="s">
        <v>32</v>
      </c>
      <c r="L38" s="33" t="s">
        <v>33</v>
      </c>
      <c r="M38" s="31"/>
    </row>
    <row r="39">
      <c r="A39" s="39" t="s">
        <v>131</v>
      </c>
      <c r="B39" s="40" t="s">
        <v>132</v>
      </c>
      <c r="C39" s="5" t="s">
        <v>133</v>
      </c>
      <c r="D39" s="5" t="s">
        <v>134</v>
      </c>
      <c r="E39" s="4" t="s">
        <v>135</v>
      </c>
      <c r="F39" s="4" t="s">
        <v>46</v>
      </c>
      <c r="G39" s="4">
        <v>26.0</v>
      </c>
      <c r="H39" s="29" t="s">
        <v>136</v>
      </c>
      <c r="I39" s="41">
        <v>2100.0</v>
      </c>
      <c r="J39" s="41" t="s">
        <v>31</v>
      </c>
      <c r="K39" s="30" t="s">
        <v>42</v>
      </c>
      <c r="L39" s="30" t="s">
        <v>115</v>
      </c>
      <c r="M39" s="42"/>
      <c r="N39" s="42">
        <v>40000.0</v>
      </c>
      <c r="O39" s="42">
        <v>125512.0</v>
      </c>
      <c r="P39" s="32">
        <f>N39:N41/O39:O41</f>
        <v>0.3186946268</v>
      </c>
      <c r="Q39" s="4" t="s">
        <v>137</v>
      </c>
    </row>
    <row r="40">
      <c r="H40" s="33" t="s">
        <v>138</v>
      </c>
      <c r="I40" s="33">
        <v>550.0</v>
      </c>
      <c r="J40" s="33" t="s">
        <v>72</v>
      </c>
      <c r="K40" s="33" t="s">
        <v>32</v>
      </c>
      <c r="L40" s="33" t="s">
        <v>33</v>
      </c>
      <c r="M40" s="42"/>
    </row>
    <row r="41">
      <c r="H41" s="33" t="s">
        <v>139</v>
      </c>
      <c r="I41" s="33">
        <v>150.0</v>
      </c>
      <c r="J41" s="33" t="s">
        <v>72</v>
      </c>
      <c r="K41" s="33" t="s">
        <v>140</v>
      </c>
      <c r="L41" s="33" t="s">
        <v>141</v>
      </c>
      <c r="M41" s="42"/>
    </row>
    <row r="42">
      <c r="A42" s="39" t="s">
        <v>142</v>
      </c>
      <c r="B42" s="40" t="s">
        <v>143</v>
      </c>
      <c r="C42" s="5" t="s">
        <v>144</v>
      </c>
      <c r="D42" s="5">
        <v>2011.0</v>
      </c>
      <c r="E42" s="4" t="s">
        <v>145</v>
      </c>
      <c r="F42" s="4" t="s">
        <v>20</v>
      </c>
      <c r="G42" s="9">
        <v>46144.0</v>
      </c>
      <c r="H42" s="29" t="s">
        <v>42</v>
      </c>
      <c r="I42" s="38">
        <v>1704.0</v>
      </c>
      <c r="J42" s="41" t="s">
        <v>31</v>
      </c>
      <c r="K42" s="37" t="s">
        <v>42</v>
      </c>
      <c r="L42" s="37" t="s">
        <v>115</v>
      </c>
      <c r="M42" s="8"/>
      <c r="N42" s="8">
        <v>22000.0</v>
      </c>
      <c r="O42" s="8">
        <v>38500.0</v>
      </c>
      <c r="P42" s="6">
        <f>N42/O42</f>
        <v>0.5714285714</v>
      </c>
      <c r="Q42" s="4" t="s">
        <v>146</v>
      </c>
    </row>
    <row r="43">
      <c r="H43" s="33" t="s">
        <v>147</v>
      </c>
      <c r="I43" s="33">
        <v>320.0</v>
      </c>
      <c r="J43" s="33" t="s">
        <v>72</v>
      </c>
      <c r="K43" s="33" t="s">
        <v>140</v>
      </c>
      <c r="L43" s="33" t="s">
        <v>141</v>
      </c>
      <c r="M43" s="8"/>
    </row>
    <row r="44">
      <c r="H44" s="33" t="s">
        <v>73</v>
      </c>
      <c r="I44" s="33">
        <v>220.0</v>
      </c>
      <c r="J44" s="33" t="s">
        <v>72</v>
      </c>
      <c r="K44" s="33" t="s">
        <v>140</v>
      </c>
      <c r="L44" s="33" t="s">
        <v>73</v>
      </c>
      <c r="M44" s="8"/>
    </row>
    <row r="45">
      <c r="H45" s="33" t="s">
        <v>148</v>
      </c>
      <c r="I45" s="33">
        <v>239.0</v>
      </c>
      <c r="J45" s="33" t="s">
        <v>31</v>
      </c>
      <c r="K45" s="33" t="s">
        <v>32</v>
      </c>
      <c r="L45" s="33" t="s">
        <v>33</v>
      </c>
      <c r="M45" s="8"/>
    </row>
    <row r="46">
      <c r="H46" s="33" t="s">
        <v>149</v>
      </c>
      <c r="I46" s="33">
        <v>140.0</v>
      </c>
      <c r="J46" s="33" t="s">
        <v>72</v>
      </c>
      <c r="K46" s="33" t="s">
        <v>32</v>
      </c>
      <c r="L46" s="33" t="s">
        <v>141</v>
      </c>
      <c r="M46" s="8"/>
    </row>
    <row r="47">
      <c r="H47" s="33" t="s">
        <v>150</v>
      </c>
      <c r="I47" s="33">
        <v>278.0</v>
      </c>
      <c r="J47" s="33" t="s">
        <v>72</v>
      </c>
      <c r="K47" s="33" t="s">
        <v>151</v>
      </c>
      <c r="L47" s="33" t="s">
        <v>33</v>
      </c>
      <c r="M47" s="8"/>
    </row>
    <row r="48">
      <c r="A48" s="39" t="s">
        <v>152</v>
      </c>
      <c r="B48" s="3"/>
      <c r="C48" s="5" t="s">
        <v>23</v>
      </c>
      <c r="D48" s="5" t="s">
        <v>153</v>
      </c>
      <c r="E48" s="4" t="s">
        <v>24</v>
      </c>
      <c r="F48" s="4" t="s">
        <v>25</v>
      </c>
      <c r="G48" s="3"/>
      <c r="H48" s="8"/>
      <c r="I48" s="8">
        <v>2200.0</v>
      </c>
      <c r="J48" s="4"/>
      <c r="K48" s="4" t="s">
        <v>42</v>
      </c>
      <c r="L48" s="4" t="s">
        <v>115</v>
      </c>
      <c r="M48" s="8"/>
      <c r="N48" s="8"/>
      <c r="O48" s="8">
        <v>45708.0</v>
      </c>
      <c r="P48" s="6"/>
      <c r="Q48" s="4"/>
    </row>
    <row r="49">
      <c r="A49" s="39" t="s">
        <v>154</v>
      </c>
      <c r="B49" s="3"/>
      <c r="C49" s="5" t="s">
        <v>155</v>
      </c>
      <c r="D49" s="5">
        <v>2009.0</v>
      </c>
      <c r="E49" s="4" t="s">
        <v>156</v>
      </c>
      <c r="F49" s="4" t="s">
        <v>20</v>
      </c>
      <c r="G49" s="4">
        <v>11.0</v>
      </c>
      <c r="H49" s="8"/>
      <c r="I49" s="8">
        <v>1800.0</v>
      </c>
      <c r="J49" s="4"/>
      <c r="K49" s="4" t="s">
        <v>42</v>
      </c>
      <c r="L49" s="4" t="s">
        <v>115</v>
      </c>
      <c r="M49" s="8"/>
      <c r="N49" s="8"/>
      <c r="O49" s="8">
        <v>25000.0</v>
      </c>
      <c r="P49" s="6"/>
      <c r="Q49" s="4"/>
    </row>
    <row r="50">
      <c r="A50" s="43" t="s">
        <v>157</v>
      </c>
      <c r="B50" s="40" t="s">
        <v>158</v>
      </c>
      <c r="C50" s="5" t="s">
        <v>159</v>
      </c>
      <c r="D50" s="5" t="s">
        <v>160</v>
      </c>
      <c r="E50" s="4" t="s">
        <v>161</v>
      </c>
      <c r="F50" s="4" t="s">
        <v>25</v>
      </c>
      <c r="G50" s="9">
        <v>46083.0</v>
      </c>
      <c r="H50" s="35" t="s">
        <v>162</v>
      </c>
      <c r="I50" s="38">
        <v>683.0</v>
      </c>
      <c r="J50" s="41" t="s">
        <v>31</v>
      </c>
      <c r="K50" s="37" t="s">
        <v>129</v>
      </c>
      <c r="L50" s="37" t="s">
        <v>103</v>
      </c>
      <c r="M50" s="8"/>
      <c r="N50" s="8">
        <v>11000.0</v>
      </c>
      <c r="O50" s="8">
        <v>17837.0</v>
      </c>
      <c r="P50" s="6">
        <f>N50/O50</f>
        <v>0.6166956327</v>
      </c>
      <c r="Q50" s="4" t="s">
        <v>108</v>
      </c>
    </row>
    <row r="51">
      <c r="H51" s="38" t="s">
        <v>163</v>
      </c>
      <c r="I51" s="38">
        <v>514.0</v>
      </c>
      <c r="J51" s="38" t="s">
        <v>31</v>
      </c>
      <c r="K51" s="38" t="s">
        <v>129</v>
      </c>
      <c r="L51" s="38" t="s">
        <v>69</v>
      </c>
      <c r="M51" s="8"/>
    </row>
    <row r="52">
      <c r="H52" s="33" t="s">
        <v>164</v>
      </c>
      <c r="I52" s="10">
        <v>200.0</v>
      </c>
      <c r="J52" s="10" t="s">
        <v>31</v>
      </c>
      <c r="K52" s="10" t="s">
        <v>121</v>
      </c>
      <c r="L52" s="10" t="s">
        <v>141</v>
      </c>
      <c r="M52" s="8"/>
    </row>
    <row r="53">
      <c r="A53" s="44" t="s">
        <v>165</v>
      </c>
      <c r="B53" s="40" t="s">
        <v>166</v>
      </c>
      <c r="C53" s="5" t="s">
        <v>167</v>
      </c>
      <c r="D53" s="5" t="s">
        <v>168</v>
      </c>
      <c r="E53" s="4" t="s">
        <v>169</v>
      </c>
      <c r="F53" s="4" t="s">
        <v>46</v>
      </c>
      <c r="G53" s="4">
        <v>4.0</v>
      </c>
      <c r="H53" s="45" t="s">
        <v>165</v>
      </c>
      <c r="I53" s="38">
        <v>683.0</v>
      </c>
      <c r="J53" s="41" t="s">
        <v>31</v>
      </c>
      <c r="K53" s="37" t="s">
        <v>32</v>
      </c>
      <c r="L53" s="37" t="s">
        <v>103</v>
      </c>
      <c r="M53" s="8"/>
      <c r="N53" s="8">
        <v>700.0</v>
      </c>
      <c r="O53" s="8">
        <v>6500.0</v>
      </c>
      <c r="P53" s="6">
        <f t="shared" ref="P53:P55" si="2">N53/O53</f>
        <v>0.1076923077</v>
      </c>
      <c r="Q53" s="4" t="s">
        <v>170</v>
      </c>
    </row>
    <row r="54">
      <c r="A54" s="44" t="s">
        <v>171</v>
      </c>
      <c r="B54" s="40" t="s">
        <v>172</v>
      </c>
      <c r="C54" s="5" t="s">
        <v>173</v>
      </c>
      <c r="D54" s="5" t="s">
        <v>174</v>
      </c>
      <c r="E54" s="4" t="s">
        <v>175</v>
      </c>
      <c r="F54" s="4" t="s">
        <v>46</v>
      </c>
      <c r="G54" s="4">
        <v>5.0</v>
      </c>
      <c r="H54" s="45" t="s">
        <v>176</v>
      </c>
      <c r="I54" s="38">
        <v>700.0</v>
      </c>
      <c r="J54" s="41" t="s">
        <v>31</v>
      </c>
      <c r="K54" s="37" t="s">
        <v>129</v>
      </c>
      <c r="L54" s="37" t="s">
        <v>103</v>
      </c>
      <c r="M54" s="8"/>
      <c r="N54" s="8">
        <v>14000.0</v>
      </c>
      <c r="O54" s="8">
        <v>48000.0</v>
      </c>
      <c r="P54" s="6">
        <f t="shared" si="2"/>
        <v>0.2916666667</v>
      </c>
      <c r="Q54" s="4" t="s">
        <v>177</v>
      </c>
    </row>
    <row r="55">
      <c r="A55" s="44" t="s">
        <v>178</v>
      </c>
      <c r="B55" s="40" t="s">
        <v>179</v>
      </c>
      <c r="C55" s="5" t="s">
        <v>180</v>
      </c>
      <c r="D55" s="5" t="s">
        <v>181</v>
      </c>
      <c r="E55" s="4" t="s">
        <v>182</v>
      </c>
      <c r="F55" s="4" t="s">
        <v>183</v>
      </c>
      <c r="G55" s="4">
        <v>1.0</v>
      </c>
      <c r="H55" s="45" t="s">
        <v>184</v>
      </c>
      <c r="I55" s="38">
        <v>764.0</v>
      </c>
      <c r="J55" s="41" t="s">
        <v>31</v>
      </c>
      <c r="K55" s="37" t="s">
        <v>121</v>
      </c>
      <c r="L55" s="37" t="s">
        <v>185</v>
      </c>
      <c r="M55" s="8"/>
      <c r="N55" s="8">
        <v>2200.0</v>
      </c>
      <c r="O55" s="8">
        <v>22026.0</v>
      </c>
      <c r="P55" s="6">
        <f t="shared" si="2"/>
        <v>0.09988195769</v>
      </c>
      <c r="Q55" s="4" t="s">
        <v>186</v>
      </c>
    </row>
    <row r="56"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</row>
    <row r="57"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</row>
    <row r="58"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</row>
  </sheetData>
  <mergeCells count="104">
    <mergeCell ref="O4:O9"/>
    <mergeCell ref="O20:O22"/>
    <mergeCell ref="Q32:Q34"/>
    <mergeCell ref="Q35:Q38"/>
    <mergeCell ref="P42:P47"/>
    <mergeCell ref="P39:P41"/>
    <mergeCell ref="Q42:Q47"/>
    <mergeCell ref="Q39:Q41"/>
    <mergeCell ref="P4:P9"/>
    <mergeCell ref="Q4:Q9"/>
    <mergeCell ref="P23:P25"/>
    <mergeCell ref="P32:P34"/>
    <mergeCell ref="P35:P38"/>
    <mergeCell ref="Q50:Q52"/>
    <mergeCell ref="P50:P52"/>
    <mergeCell ref="O39:O41"/>
    <mergeCell ref="O42:O47"/>
    <mergeCell ref="N50:N52"/>
    <mergeCell ref="O50:O52"/>
    <mergeCell ref="N23:N25"/>
    <mergeCell ref="O23:O25"/>
    <mergeCell ref="N39:N41"/>
    <mergeCell ref="N42:N47"/>
    <mergeCell ref="N32:N34"/>
    <mergeCell ref="N35:N38"/>
    <mergeCell ref="O32:O34"/>
    <mergeCell ref="O35:O38"/>
    <mergeCell ref="N17:N19"/>
    <mergeCell ref="N20:N22"/>
    <mergeCell ref="F23:F25"/>
    <mergeCell ref="G23:G25"/>
    <mergeCell ref="D28:D29"/>
    <mergeCell ref="E28:E29"/>
    <mergeCell ref="F28:F29"/>
    <mergeCell ref="D17:D19"/>
    <mergeCell ref="E17:E19"/>
    <mergeCell ref="O17:O19"/>
    <mergeCell ref="P17:P19"/>
    <mergeCell ref="P20:P22"/>
    <mergeCell ref="D23:D25"/>
    <mergeCell ref="E23:E25"/>
    <mergeCell ref="N4:N9"/>
    <mergeCell ref="C14:C16"/>
    <mergeCell ref="C17:C19"/>
    <mergeCell ref="C35:C38"/>
    <mergeCell ref="C32:C34"/>
    <mergeCell ref="B32:B34"/>
    <mergeCell ref="C28:C29"/>
    <mergeCell ref="D35:D38"/>
    <mergeCell ref="A35:A38"/>
    <mergeCell ref="B35:B38"/>
    <mergeCell ref="D39:D41"/>
    <mergeCell ref="C39:C41"/>
    <mergeCell ref="C42:C47"/>
    <mergeCell ref="A42:A47"/>
    <mergeCell ref="B42:B47"/>
    <mergeCell ref="A39:A41"/>
    <mergeCell ref="B39:B41"/>
    <mergeCell ref="A14:A16"/>
    <mergeCell ref="B14:B16"/>
    <mergeCell ref="D14:D16"/>
    <mergeCell ref="E14:E16"/>
    <mergeCell ref="F14:F16"/>
    <mergeCell ref="A17:A19"/>
    <mergeCell ref="F17:F19"/>
    <mergeCell ref="A20:A22"/>
    <mergeCell ref="C20:C22"/>
    <mergeCell ref="D20:D22"/>
    <mergeCell ref="F20:F22"/>
    <mergeCell ref="G20:G22"/>
    <mergeCell ref="A23:A25"/>
    <mergeCell ref="C23:C25"/>
    <mergeCell ref="A28:A29"/>
    <mergeCell ref="E42:E47"/>
    <mergeCell ref="E50:E52"/>
    <mergeCell ref="D50:D52"/>
    <mergeCell ref="D42:D47"/>
    <mergeCell ref="F42:F47"/>
    <mergeCell ref="F50:F52"/>
    <mergeCell ref="G50:G52"/>
    <mergeCell ref="G42:G47"/>
    <mergeCell ref="F39:F41"/>
    <mergeCell ref="F35:F38"/>
    <mergeCell ref="E39:E41"/>
    <mergeCell ref="G39:G41"/>
    <mergeCell ref="E32:E34"/>
    <mergeCell ref="D32:D34"/>
    <mergeCell ref="A4:A9"/>
    <mergeCell ref="B4:B9"/>
    <mergeCell ref="C4:C9"/>
    <mergeCell ref="D4:D9"/>
    <mergeCell ref="E4:E9"/>
    <mergeCell ref="F4:F9"/>
    <mergeCell ref="G4:G9"/>
    <mergeCell ref="G14:G16"/>
    <mergeCell ref="E20:E22"/>
    <mergeCell ref="E35:E38"/>
    <mergeCell ref="A32:A34"/>
    <mergeCell ref="F32:F34"/>
    <mergeCell ref="G35:G38"/>
    <mergeCell ref="G32:G34"/>
    <mergeCell ref="A50:A52"/>
    <mergeCell ref="B50:B52"/>
    <mergeCell ref="C50:C52"/>
  </mergeCells>
  <dataValidations>
    <dataValidation type="list" allowBlank="1" showErrorMessage="1" sqref="F2:F4 F10:F14 F17 F20 F23 F26:F28 F30:F32 F35 F39 F42 F48:F50 F53:F55">
      <formula1>"North Europe,Europe,North America,Asia,South America"</formula1>
    </dataValidation>
    <dataValidation type="list" allowBlank="1" showErrorMessage="1" sqref="K2:K30 K32:K55">
      <formula1>"Concert Hall,Opera House,Experimental,Chamber Music,Playhouse,Multimedia,Rehearsal"</formula1>
    </dataValidation>
    <dataValidation type="list" allowBlank="1" showErrorMessage="1" sqref="J4:J6 J17:J47 J50:J55">
      <formula1>"Fixed,No Fixed,Module"</formula1>
    </dataValidation>
    <dataValidation type="list" allowBlank="1" showErrorMessage="1" sqref="Q4 Q29:Q30 Q32 Q35 Q39 Q42 Q48:Q50 Q53:Q55">
      <formula1>"Media Center,Residential,Hotel,Plaza,Arcade,Cultural Center,Academy,Library,Gymnasium"</formula1>
    </dataValidation>
    <dataValidation type="list" allowBlank="1" showErrorMessage="1" sqref="L51">
      <formula1>"Proscenium,Thrust,Vineyard,Arena,Others"</formula1>
    </dataValidation>
    <dataValidation type="list" allowBlank="1" showErrorMessage="1" sqref="L2:L50 L52:L55">
      <formula1>"Proscenium,Thrust,Vineyard,Arena,Bifrontal,Shoebox,Black Box,Studio Hall"</formula1>
    </dataValidation>
  </dataValidations>
  <hyperlinks>
    <hyperlink r:id="rId1" ref="B17"/>
    <hyperlink r:id="rId2" ref="B20"/>
    <hyperlink r:id="rId3" ref="B23"/>
    <hyperlink r:id="rId4" ref="B26"/>
    <hyperlink r:id="rId5" ref="B27"/>
    <hyperlink r:id="rId6" location="Directions" ref="B28"/>
    <hyperlink r:id="rId7" ref="B32"/>
    <hyperlink r:id="rId8" ref="B35"/>
    <hyperlink r:id="rId9" ref="B39"/>
    <hyperlink r:id="rId10" ref="B42"/>
    <hyperlink r:id="rId11" ref="B50"/>
    <hyperlink r:id="rId12" ref="B53"/>
    <hyperlink r:id="rId13" ref="B54"/>
    <hyperlink r:id="rId14" ref="B55"/>
  </hyperlinks>
  <drawing r:id="rId15"/>
</worksheet>
</file>