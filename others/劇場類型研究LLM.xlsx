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Theater-Research\"/>
    </mc:Choice>
  </mc:AlternateContent>
  <xr:revisionPtr revIDLastSave="0" documentId="13_ncr:1_{A1ED5868-B15F-4057-929A-AFD0656E4E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" i="1" l="1"/>
  <c r="P54" i="1"/>
  <c r="P53" i="1"/>
  <c r="P50" i="1"/>
  <c r="P42" i="1"/>
  <c r="P39" i="1"/>
  <c r="P35" i="1"/>
  <c r="P32" i="1"/>
  <c r="P30" i="1"/>
  <c r="P28" i="1"/>
  <c r="P27" i="1"/>
  <c r="P26" i="1"/>
  <c r="P23" i="1"/>
  <c r="P20" i="1"/>
  <c r="P17" i="1"/>
  <c r="P4" i="1"/>
</calcChain>
</file>

<file path=xl/sharedStrings.xml><?xml version="1.0" encoding="utf-8"?>
<sst xmlns="http://schemas.openxmlformats.org/spreadsheetml/2006/main" count="321" uniqueCount="187">
  <si>
    <t>Case</t>
  </si>
  <si>
    <t>Source</t>
  </si>
  <si>
    <t>Office/ Architects</t>
  </si>
  <si>
    <t>Year</t>
  </si>
  <si>
    <t>Location</t>
  </si>
  <si>
    <t>Continent</t>
  </si>
  <si>
    <t>Floor</t>
  </si>
  <si>
    <t>Theatre</t>
  </si>
  <si>
    <t>Seating Capacity</t>
  </si>
  <si>
    <t>Seating Flexibility</t>
  </si>
  <si>
    <t>Type</t>
  </si>
  <si>
    <t>Stage Form</t>
  </si>
  <si>
    <t>Seating Form</t>
  </si>
  <si>
    <t>Total Area (Theater)</t>
  </si>
  <si>
    <t>GFA(m²)</t>
  </si>
  <si>
    <t>劇場面積占比</t>
  </si>
  <si>
    <t>Other Program</t>
  </si>
  <si>
    <t>Snøhetta</t>
  </si>
  <si>
    <t>Norway</t>
  </si>
  <si>
    <t>North Europe</t>
  </si>
  <si>
    <t>Proscenium</t>
  </si>
  <si>
    <t>Metropolitan Opera House at Lincoln Center</t>
  </si>
  <si>
    <t>Harrison &amp; Abramovitz</t>
  </si>
  <si>
    <t>Upper West Side, Manhattan</t>
  </si>
  <si>
    <t>North America</t>
  </si>
  <si>
    <t>Opera House</t>
  </si>
  <si>
    <t>Alice Tully Hall at Lincoln Center
 (The Juilliard School)</t>
  </si>
  <si>
    <t>Pietro Belluschi(原學院)/ 
DS+R/ FXFOWLE Architects(改建)</t>
  </si>
  <si>
    <t>1969(原劇場)/ 
2009(改建)</t>
  </si>
  <si>
    <t>Starr Theater</t>
  </si>
  <si>
    <t>Fixed</t>
  </si>
  <si>
    <t>Chamber Music</t>
  </si>
  <si>
    <t>Shoebox</t>
  </si>
  <si>
    <t>Academy, Plaza</t>
  </si>
  <si>
    <t>Peter Jay Sharp Theater</t>
  </si>
  <si>
    <t>Paul Recital Hal</t>
  </si>
  <si>
    <t>Stephanie P. McClelland Drama Theater</t>
  </si>
  <si>
    <t>Morse Recital Hall</t>
  </si>
  <si>
    <t>Rosemary and Meredith Willson Theater</t>
  </si>
  <si>
    <t>Rafael Viñoly</t>
  </si>
  <si>
    <t>Concert Hall</t>
  </si>
  <si>
    <t>Vittorio Gregotti</t>
  </si>
  <si>
    <t>Milano</t>
  </si>
  <si>
    <t>Europe</t>
  </si>
  <si>
    <t>Ignasi de Solà Morales</t>
  </si>
  <si>
    <t>1999重建+擴建</t>
  </si>
  <si>
    <t>Barcelona</t>
  </si>
  <si>
    <t>Schauspielhaus Düsseldorf</t>
  </si>
  <si>
    <t>Bernard Pfau /Ingenhoven Associates</t>
  </si>
  <si>
    <t>1970/ 2020整修</t>
  </si>
  <si>
    <t>Germany</t>
  </si>
  <si>
    <t>Taipei Performing Arts Center</t>
  </si>
  <si>
    <t>OMA</t>
  </si>
  <si>
    <t>Taipei</t>
  </si>
  <si>
    <t>Asia</t>
  </si>
  <si>
    <t>B1-12F</t>
  </si>
  <si>
    <t>大劇院</t>
  </si>
  <si>
    <t>藍盒子</t>
  </si>
  <si>
    <t>500-800</t>
  </si>
  <si>
    <t>球劇場</t>
  </si>
  <si>
    <t>The Olivier Theatre</t>
  </si>
  <si>
    <t>https://www.archdaily.com/772979/ad-classics-royal-national-theatre-denys-lasdun</t>
  </si>
  <si>
    <t>Sir Denys Lasdun &amp; Partners</t>
  </si>
  <si>
    <t>London</t>
  </si>
  <si>
    <t>Olivier</t>
  </si>
  <si>
    <t>Thrust</t>
  </si>
  <si>
    <t>Lyttelton</t>
  </si>
  <si>
    <t>Dorfman</t>
  </si>
  <si>
    <t>No Fixed</t>
  </si>
  <si>
    <t>Black Box</t>
  </si>
  <si>
    <t>Guthrie Theater</t>
  </si>
  <si>
    <t>https://www.archiweb.cz/en/b/guthrie-theater</t>
  </si>
  <si>
    <t>Jean Nouvel + Architectural Alliance</t>
  </si>
  <si>
    <t>Minneapolis</t>
  </si>
  <si>
    <t>Wurtele Thrust Stage</t>
  </si>
  <si>
    <t>McGuire Proscenium</t>
  </si>
  <si>
    <t>Dowling Studio</t>
  </si>
  <si>
    <t>Chichester Festival Theatre</t>
  </si>
  <si>
    <t>https://www.archdaily.com/531377/chichester-festival-theatre-haworth-tompkins</t>
  </si>
  <si>
    <t>Philip Powell &amp; Hidalgo Moya</t>
  </si>
  <si>
    <t>Chichester</t>
  </si>
  <si>
    <t>Festival Theatre</t>
  </si>
  <si>
    <t>Minerva Theatre</t>
  </si>
  <si>
    <t>The Nest</t>
  </si>
  <si>
    <t>https://www.stratfordfestival.ca/Visit/TheatreAndGuides</t>
  </si>
  <si>
    <t>Robert Fairfield</t>
  </si>
  <si>
    <t>Ontario</t>
  </si>
  <si>
    <t>Angus Bowmer Theatre</t>
  </si>
  <si>
    <t>Kirk, Wallace &amp; McKinley</t>
  </si>
  <si>
    <t>Ashland</t>
  </si>
  <si>
    <t>Alley Theatre</t>
  </si>
  <si>
    <r>
      <rPr>
        <u/>
        <sz val="10"/>
        <color rgb="FF1155CC"/>
        <rFont val="Arial"/>
        <family val="2"/>
      </rPr>
      <t>Plan Your Visit - Alley Theatre</t>
    </r>
  </si>
  <si>
    <t>Richard Hay</t>
  </si>
  <si>
    <t>Houston</t>
  </si>
  <si>
    <t>Hubbard Theatre</t>
  </si>
  <si>
    <t>Neuhaus Theatre</t>
  </si>
  <si>
    <t>Arena</t>
  </si>
  <si>
    <t>宜蘭文化中心演藝廳</t>
  </si>
  <si>
    <t>劉可強建築師事務所</t>
  </si>
  <si>
    <t>Yilan</t>
  </si>
  <si>
    <t>Multimedia</t>
  </si>
  <si>
    <t>Cultural Center</t>
  </si>
  <si>
    <t>Allen Elizabethan Theatre at Lincoln Center</t>
  </si>
  <si>
    <t>Eero Saarinen</t>
  </si>
  <si>
    <r>
      <rPr>
        <u/>
        <sz val="10"/>
        <color rgb="FF1155CC"/>
        <rFont val="Arial, sans-serif"/>
      </rPr>
      <t>https://threshold.blog/2021/06/07/inception-hkcc/</t>
    </r>
    <r>
      <rPr>
        <u/>
        <sz val="10"/>
        <color rgb="FF000000"/>
        <rFont val="Arial, sans-serif"/>
      </rPr>
      <t xml:space="preserve">
</t>
    </r>
    <r>
      <rPr>
        <u/>
        <sz val="10"/>
        <color rgb="FF1155CC"/>
        <rFont val="Arial, sans-serif"/>
      </rPr>
      <t>https://threshold.blog/2020/11/29/3-signature-building-and-3-stages-of-hk-cultural-development/</t>
    </r>
    <r>
      <rPr>
        <u/>
        <sz val="10"/>
        <color rgb="FF000000"/>
        <rFont val="Arial, sans-serif"/>
      </rPr>
      <t xml:space="preserve">
</t>
    </r>
    <r>
      <rPr>
        <u/>
        <sz val="10"/>
        <color rgb="FF1155CC"/>
        <rFont val="Arial, sans-serif"/>
      </rPr>
      <t>https://cdn.i-scmp.com/sites/default/files/2014/11/01/20141102_review_cc11.jpg</t>
    </r>
    <r>
      <rPr>
        <u/>
        <sz val="10"/>
        <color rgb="FF000000"/>
        <rFont val="Arial, sans-serif"/>
      </rPr>
      <t xml:space="preserve">
</t>
    </r>
    <r>
      <rPr>
        <u/>
        <sz val="10"/>
        <color rgb="FF1155CC"/>
        <rFont val="Arial, sans-serif"/>
      </rPr>
      <t>https://ars.els-cdn.com/content/image/1-s2.0-S0197397512000513-gr9.jpg</t>
    </r>
  </si>
  <si>
    <t>José Lei, ArchSD</t>
  </si>
  <si>
    <t>Tsim Sha Tsui ,Hong Kong</t>
  </si>
  <si>
    <t>Vineyard</t>
  </si>
  <si>
    <t>Cultural Center, Plaza</t>
  </si>
  <si>
    <t>Grand Theatre</t>
  </si>
  <si>
    <t>Opera House, Playhouse</t>
  </si>
  <si>
    <t>Studio Theatre</t>
  </si>
  <si>
    <t>Module</t>
  </si>
  <si>
    <t>Experimental</t>
  </si>
  <si>
    <t>衛武營</t>
  </si>
  <si>
    <r>
      <rPr>
        <u/>
        <sz val="10"/>
        <color rgb="FF1155CC"/>
        <rFont val="Arial, sans-serif"/>
      </rPr>
      <t>https://www.archdaily.cn/cn/904098/wei-wu-ying-guo-jia-yi-zhu-wen-hua-zhong-xin-mecanoo</t>
    </r>
    <r>
      <rPr>
        <sz val="10"/>
        <color rgb="FF1155CC"/>
        <rFont val="Arial, sans-serif"/>
      </rPr>
      <t xml:space="preserve">
</t>
    </r>
    <r>
      <rPr>
        <u/>
        <sz val="10"/>
        <color rgb="FF1155CC"/>
        <rFont val="Arial, sans-serif"/>
      </rPr>
      <t>https://www.npac-weiwuying.org/links/5bc0013f388608000524ff46</t>
    </r>
    <r>
      <rPr>
        <sz val="10"/>
        <color rgb="FF1155CC"/>
        <rFont val="Arial, sans-serif"/>
      </rPr>
      <t xml:space="preserve">
</t>
    </r>
    <r>
      <rPr>
        <u/>
        <sz val="10"/>
        <color rgb="FF1155CC"/>
        <rFont val="Arial, sans-serif"/>
      </rPr>
      <t>https://www.mecanoo.nl/Projects/project/54/National-Kaohsiung-Centre-for-the-Arts</t>
    </r>
  </si>
  <si>
    <t>Mecanoo/ 羅興華建築師事務所</t>
  </si>
  <si>
    <t>Fongshan, Kaohsiung</t>
  </si>
  <si>
    <t>歌劇院(Opera House)</t>
  </si>
  <si>
    <t>音樂廳(Concert Hall)</t>
  </si>
  <si>
    <t>戲劇院(Playhouse)</t>
  </si>
  <si>
    <t>Playhouse</t>
  </si>
  <si>
    <t>表演廳(Recital Hall)</t>
  </si>
  <si>
    <t>The Elbphilharmonie</t>
  </si>
  <si>
    <r>
      <rPr>
        <u/>
        <sz val="10"/>
        <color rgb="FF1155CC"/>
        <rFont val="Arial"/>
        <family val="2"/>
      </rPr>
      <t>https://arquitecturaviva.com/works/elbphilharmonie-hamburg-6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https://www.elbphilharmonie.de/en/the-halls#architektur-und-akustik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https://www.herzogdemeuron.com/projects/230-elbphilharmonie-hamburg/</t>
    </r>
  </si>
  <si>
    <t>H&amp;deM</t>
  </si>
  <si>
    <t>1966(原倉庫)/
 2016(改建)</t>
  </si>
  <si>
    <t>HafenCity, Hamburg</t>
  </si>
  <si>
    <t>Großer Saal (Grand Hall)</t>
  </si>
  <si>
    <t>Hotel, Residential, Plaza</t>
  </si>
  <si>
    <t>Kleiner Saal (Recital Hall)</t>
  </si>
  <si>
    <t>Kaistudio 1</t>
  </si>
  <si>
    <t>Experimental, Rehearsal</t>
  </si>
  <si>
    <t>Studio Hall</t>
  </si>
  <si>
    <t>Helsinki Music Centre</t>
  </si>
  <si>
    <r>
      <rPr>
        <u/>
        <sz val="10"/>
        <color rgb="FF1155CC"/>
        <rFont val="Arial"/>
        <family val="2"/>
      </rPr>
      <t>https://www.nagata-i.com/wp-content/uploads/2019/06/Helsinki_NAGATA.pdf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https://ntustudio.wordpress.com/2017/10/16/helsinki-music-centre-2/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https://ark-lpr.fi/en/projekti/helsinki-music-centre/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https://musiikkitalo.fi/en/venue-hire/our-spaces</t>
    </r>
  </si>
  <si>
    <t>LPR Architects</t>
  </si>
  <si>
    <t>Kluuvi, Helsinki</t>
  </si>
  <si>
    <t>Cultural Center, Academy, Library, Plaza</t>
  </si>
  <si>
    <t>Paavo</t>
  </si>
  <si>
    <t>Camerata</t>
  </si>
  <si>
    <t>Organo</t>
  </si>
  <si>
    <t>Sonore</t>
  </si>
  <si>
    <t>Opera House, Rehearsal</t>
  </si>
  <si>
    <t>David Geffen Hall at Lincoln Center</t>
  </si>
  <si>
    <t>1962/ 2022</t>
  </si>
  <si>
    <t>DR Koncerthuset</t>
  </si>
  <si>
    <t>Jean Nouvel</t>
  </si>
  <si>
    <t>Copenhagen</t>
  </si>
  <si>
    <r>
      <rPr>
        <u/>
        <sz val="10"/>
        <color rgb="FF1155CC"/>
        <rFont val="Arial"/>
        <family val="2"/>
      </rPr>
      <t>https://www.arenastage.org/about-us/the-mead-center/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https://www.archdaily.com/89124/arena-stage-bing-thom-architects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https://structurecraft.com/projects/arena-stage-theate</t>
    </r>
  </si>
  <si>
    <t>Harry Weese(original building)/ 
Bing Thom Architects</t>
  </si>
  <si>
    <t>1961(The Fichandler Stage)/ 
1971(The Kreeger Theater)/ 
2010(改建)</t>
  </si>
  <si>
    <t>Southwest Waterfront, Washington</t>
  </si>
  <si>
    <t>The Fichandler Stage</t>
  </si>
  <si>
    <t>The Kreeger Theater</t>
  </si>
  <si>
    <t>The Arlene and Robert Kogod Cradle</t>
  </si>
  <si>
    <t>Pierre Boulez Saal</t>
  </si>
  <si>
    <r>
      <rPr>
        <u/>
        <sz val="10"/>
        <color rgb="FF1155CC"/>
        <rFont val="Arial"/>
        <family val="2"/>
      </rPr>
      <t>https://www.marlowes.de/boulez_saal_berlin/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https://www.nagata-i.com/wp-content/uploads/2019/06/PierreBoulezSaal_NAGATA.pdf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https://www.boulezsaal.de/en/about-the-hall</t>
    </r>
  </si>
  <si>
    <t>Richard Paulick (original building)/ 
Frank Gehry</t>
  </si>
  <si>
    <t>1950(舊庫房)/ 
2017(改建)</t>
  </si>
  <si>
    <t>Mitte, Berlin</t>
  </si>
  <si>
    <t>Academy</t>
  </si>
  <si>
    <r>
      <rPr>
        <u/>
        <sz val="10"/>
        <color rgb="FF1155CC"/>
        <rFont val="Arial"/>
        <family val="2"/>
      </rPr>
      <t>https://www.arup.com/globalassets/downloads/arup-journal/the-arup-journal-1976-issue-4.pdf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https://manchesterhistory.net/manchester/tours/tour5/area5page8.html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https://www.levittbernstein.co.uk/project-stories/royal-exchange-theatre/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https://www.lucieiredale.com/work-1/sweat</t>
    </r>
  </si>
  <si>
    <t>Charles Mills, Bradshaw Gass &amp; Hope(擴建)/ 
Levitt Bernstein(修復)</t>
  </si>
  <si>
    <t>1809(原建物)/
1869–1921(擴建) /
1998(修復)</t>
  </si>
  <si>
    <t>Central Retail District, Manchester</t>
  </si>
  <si>
    <t>The Main Theatre</t>
  </si>
  <si>
    <t>Arcade, Plaza</t>
  </si>
  <si>
    <r>
      <rPr>
        <u/>
        <sz val="10"/>
        <color rgb="FF1155CC"/>
        <rFont val="Arial"/>
        <family val="2"/>
      </rPr>
      <t>https://arquitecturaviva.com/works/sesc-fabrica-pompeia-9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https://forgemind.net/media/sesc-pompeia-lina-bo-bardi/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https://brasilarquitetura.com/project/sesc-fabrica-pompeia-lina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https://archeyes.com/sesc-pompeia-factory-lina-bo-bardi-architecture-sao-paulo/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family val="2"/>
      </rPr>
      <t>https://www.slideshare.net/slideshow/sesc-pompeia-lina-bo-bardi-estudo-de-caso/46107482</t>
    </r>
  </si>
  <si>
    <t>Lina Bo Bardi</t>
  </si>
  <si>
    <t>1930(舊工廠)/ 
1982(改建)</t>
  </si>
  <si>
    <t>Pompéia, São Paulo</t>
  </si>
  <si>
    <t>South America</t>
  </si>
  <si>
    <t>Teatro do SESC Pompéia</t>
  </si>
  <si>
    <t>Bifrontal</t>
  </si>
  <si>
    <t>Cultural Center, Plaza, Gymnasium</t>
  </si>
  <si>
    <t>Oslo Opera House</t>
    <phoneticPr fontId="22" type="noConversion"/>
  </si>
  <si>
    <t>Stratford Festival Theatre</t>
    <phoneticPr fontId="22" type="noConversion"/>
  </si>
  <si>
    <t>Oregon Shakespeare Festival</t>
    <phoneticPr fontId="22" type="noConversion"/>
  </si>
  <si>
    <t>Allen Pavilion — TWM Architects + Planners</t>
  </si>
  <si>
    <t>Hong Kong Cultural Centre</t>
    <phoneticPr fontId="22" type="noConversion"/>
  </si>
  <si>
    <t xml:space="preserve"> Arena Stage at the Mead Center for American Theater</t>
    <phoneticPr fontId="22" type="noConversion"/>
  </si>
  <si>
    <t>Royal Exchange in Manchester</t>
    <phoneticPr fontId="22" type="noConversion"/>
  </si>
  <si>
    <t>Teatro Degli Arcimboldi</t>
    <phoneticPr fontId="22" type="noConversion"/>
  </si>
  <si>
    <t>Teatro del Liceu</t>
    <phoneticPr fontId="22" type="noConversion"/>
  </si>
  <si>
    <t>SESC Pompéia</t>
    <phoneticPr fontId="22" type="noConversion"/>
  </si>
  <si>
    <t>Rose Theater / Jazz at Lincoln Center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</si>
</sst>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2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CCCCCC"/>
      <name val="Arial"/>
      <scheme val="minor"/>
    </font>
    <font>
      <sz val="10"/>
      <color rgb="FFCCCCCC"/>
      <name val="Arial"/>
    </font>
    <font>
      <sz val="10"/>
      <color theme="1"/>
      <name val="&quot;Google Sans Text&quot;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rgb="FFCCCCCC"/>
      <name val="Arial"/>
      <family val="2"/>
    </font>
    <font>
      <sz val="10"/>
      <color rgb="FFFFFFFF"/>
      <name val="Arial"/>
      <family val="2"/>
    </font>
    <font>
      <u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1155CC"/>
      <name val="Arial"/>
      <family val="2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FFFFFF"/>
      <name val="Arial"/>
      <family val="2"/>
      <scheme val="minor"/>
    </font>
    <font>
      <u/>
      <sz val="10"/>
      <color rgb="FF1155CC"/>
      <name val="Arial, sans-serif"/>
    </font>
    <font>
      <u/>
      <sz val="10"/>
      <color rgb="FF000000"/>
      <name val="Arial, sans-serif"/>
    </font>
    <font>
      <sz val="10"/>
      <color rgb="FF1155CC"/>
      <name val="Arial, sans-serif"/>
    </font>
    <font>
      <u/>
      <sz val="10"/>
      <color theme="1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1" fillId="0" borderId="0" xfId="0" applyNumberFormat="1" applyFont="1"/>
    <xf numFmtId="0" fontId="8" fillId="0" borderId="0" xfId="0" applyFont="1"/>
    <xf numFmtId="0" fontId="1" fillId="0" borderId="0" xfId="0" applyFont="1"/>
    <xf numFmtId="0" fontId="3" fillId="4" borderId="0" xfId="0" applyFont="1" applyFill="1" applyAlignment="1">
      <alignment horizontal="left" vertical="center"/>
    </xf>
    <xf numFmtId="0" fontId="3" fillId="0" borderId="0" xfId="0" applyFont="1"/>
    <xf numFmtId="0" fontId="9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3" fontId="15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5" fillId="0" borderId="0" xfId="0" applyNumberFormat="1" applyFont="1" applyAlignment="1">
      <alignment horizontal="left" vertical="center"/>
    </xf>
    <xf numFmtId="0" fontId="0" fillId="0" borderId="0" xfId="0"/>
    <xf numFmtId="3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0" fontId="13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23" fillId="4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1" fillId="0" borderId="0" xfId="1"/>
    <xf numFmtId="0" fontId="23" fillId="8" borderId="0" xfId="0" applyFont="1" applyFill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quitecturaviva.com/works/elbphilharmonie-hamburg-6" TargetMode="External"/><Relationship Id="rId13" Type="http://schemas.openxmlformats.org/officeDocument/2006/relationships/hyperlink" Target="https://arquitecturaviva.com/works/sesc-fabrica-pompeia-9" TargetMode="External"/><Relationship Id="rId3" Type="http://schemas.openxmlformats.org/officeDocument/2006/relationships/hyperlink" Target="https://www.archdaily.com/531377/chichester-festival-theatre-haworth-tompkins" TargetMode="External"/><Relationship Id="rId7" Type="http://schemas.openxmlformats.org/officeDocument/2006/relationships/hyperlink" Target="https://www.archdaily.cn/cn/904098/wei-wu-ying-guo-jia-yi-zhu-wen-hua-zhong-xin-mecanoo" TargetMode="External"/><Relationship Id="rId12" Type="http://schemas.openxmlformats.org/officeDocument/2006/relationships/hyperlink" Target="https://www.arup.com/globalassets/downloads/arup-journal/the-arup-journal-1976-issue-4.pdf" TargetMode="External"/><Relationship Id="rId2" Type="http://schemas.openxmlformats.org/officeDocument/2006/relationships/hyperlink" Target="https://www.archiweb.cz/en/b/guthrie-theater" TargetMode="External"/><Relationship Id="rId1" Type="http://schemas.openxmlformats.org/officeDocument/2006/relationships/hyperlink" Target="https://www.archdaily.com/772979/ad-classics-royal-national-theatre-denys-lasdun" TargetMode="External"/><Relationship Id="rId6" Type="http://schemas.openxmlformats.org/officeDocument/2006/relationships/hyperlink" Target="https://threshold.blog/2021/06/07/inception-hkcc/" TargetMode="External"/><Relationship Id="rId11" Type="http://schemas.openxmlformats.org/officeDocument/2006/relationships/hyperlink" Target="https://www.marlowes.de/boulez_saal_berlin/" TargetMode="External"/><Relationship Id="rId5" Type="http://schemas.openxmlformats.org/officeDocument/2006/relationships/hyperlink" Target="https://www.alleytheatre.org/plan-your-visit/" TargetMode="External"/><Relationship Id="rId10" Type="http://schemas.openxmlformats.org/officeDocument/2006/relationships/hyperlink" Target="https://www.arenastage.org/about-us/the-mead-center/" TargetMode="External"/><Relationship Id="rId4" Type="http://schemas.openxmlformats.org/officeDocument/2006/relationships/hyperlink" Target="https://www.stratfordfestival.ca/Visit/TheatreAndGuides" TargetMode="External"/><Relationship Id="rId9" Type="http://schemas.openxmlformats.org/officeDocument/2006/relationships/hyperlink" Target="https://www.nagata-i.com/wp-content/uploads/2019/06/Helsinki_NAGATA.pdf" TargetMode="External"/><Relationship Id="rId14" Type="http://schemas.openxmlformats.org/officeDocument/2006/relationships/hyperlink" Target="https://www.twmarchitects.com/allen-pavil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8"/>
  <sheetViews>
    <sheetView tabSelected="1" topLeftCell="A25" workbookViewId="0">
      <pane xSplit="1" topLeftCell="C1" activePane="topRight" state="frozen"/>
      <selection pane="topRight" activeCell="G54" sqref="G54"/>
    </sheetView>
  </sheetViews>
  <sheetFormatPr defaultColWidth="12.6328125" defaultRowHeight="15.75" customHeight="1"/>
  <cols>
    <col min="1" max="1" width="36.26953125" customWidth="1"/>
    <col min="2" max="2" width="16.453125" customWidth="1"/>
    <col min="3" max="3" width="35.08984375" customWidth="1"/>
    <col min="4" max="4" width="23.08984375" customWidth="1"/>
    <col min="5" max="5" width="26.6328125" customWidth="1"/>
    <col min="6" max="6" width="16.90625" customWidth="1"/>
    <col min="7" max="7" width="6.7265625" customWidth="1"/>
    <col min="8" max="8" width="20.453125" customWidth="1"/>
    <col min="9" max="9" width="13.6328125" customWidth="1"/>
    <col min="10" max="10" width="14" customWidth="1"/>
    <col min="11" max="11" width="26.36328125" customWidth="1"/>
    <col min="12" max="12" width="15.36328125" customWidth="1"/>
    <col min="13" max="14" width="15.90625" customWidth="1"/>
    <col min="15" max="15" width="7.36328125" customWidth="1"/>
    <col min="16" max="16" width="11" customWidth="1"/>
    <col min="17" max="17" width="38.7265625" customWidth="1"/>
  </cols>
  <sheetData>
    <row r="1" spans="1:1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>
      <c r="A2" s="53" t="s">
        <v>176</v>
      </c>
      <c r="B2" s="3"/>
      <c r="C2" s="3" t="s">
        <v>17</v>
      </c>
      <c r="D2" s="3">
        <v>2007</v>
      </c>
      <c r="E2" s="3" t="s">
        <v>18</v>
      </c>
      <c r="F2" s="3" t="s">
        <v>19</v>
      </c>
      <c r="G2" s="3"/>
      <c r="H2" s="3"/>
      <c r="I2" s="3">
        <v>1370</v>
      </c>
      <c r="J2" s="4"/>
      <c r="K2" s="4"/>
      <c r="L2" s="3" t="s">
        <v>20</v>
      </c>
      <c r="M2" s="3"/>
      <c r="N2" s="3"/>
      <c r="O2" s="3"/>
      <c r="P2" s="5"/>
      <c r="Q2" s="3"/>
    </row>
    <row r="3" spans="1:17" ht="15.75" customHeight="1">
      <c r="A3" s="2" t="s">
        <v>21</v>
      </c>
      <c r="B3" s="3"/>
      <c r="C3" s="3" t="s">
        <v>22</v>
      </c>
      <c r="D3" s="3">
        <v>1966</v>
      </c>
      <c r="E3" s="3" t="s">
        <v>23</v>
      </c>
      <c r="F3" s="3" t="s">
        <v>24</v>
      </c>
      <c r="G3" s="3">
        <v>10</v>
      </c>
      <c r="H3" s="6"/>
      <c r="I3" s="6">
        <v>3975</v>
      </c>
      <c r="J3" s="3"/>
      <c r="K3" s="3" t="s">
        <v>25</v>
      </c>
      <c r="L3" s="3" t="s">
        <v>20</v>
      </c>
      <c r="M3" s="6"/>
      <c r="N3" s="6"/>
      <c r="O3" s="6">
        <v>9011</v>
      </c>
      <c r="P3" s="5"/>
      <c r="Q3" s="3"/>
    </row>
    <row r="4" spans="1:17" ht="15.75" customHeight="1">
      <c r="A4" s="48" t="s">
        <v>26</v>
      </c>
      <c r="B4" s="37"/>
      <c r="C4" s="37" t="s">
        <v>27</v>
      </c>
      <c r="D4" s="37" t="s">
        <v>28</v>
      </c>
      <c r="E4" s="37" t="s">
        <v>23</v>
      </c>
      <c r="F4" s="37" t="s">
        <v>24</v>
      </c>
      <c r="G4" s="50">
        <v>46082</v>
      </c>
      <c r="H4" s="7" t="s">
        <v>29</v>
      </c>
      <c r="I4" s="8">
        <v>1086</v>
      </c>
      <c r="J4" s="9" t="s">
        <v>30</v>
      </c>
      <c r="K4" s="9" t="s">
        <v>31</v>
      </c>
      <c r="L4" s="7" t="s">
        <v>32</v>
      </c>
      <c r="M4" s="6"/>
      <c r="N4" s="36">
        <v>22000</v>
      </c>
      <c r="O4" s="34">
        <v>50000</v>
      </c>
      <c r="P4" s="38">
        <f>N4/O4</f>
        <v>0.44</v>
      </c>
      <c r="Q4" s="37" t="s">
        <v>33</v>
      </c>
    </row>
    <row r="5" spans="1:17" ht="15.75" customHeight="1">
      <c r="A5" s="35"/>
      <c r="B5" s="35"/>
      <c r="C5" s="35"/>
      <c r="D5" s="35"/>
      <c r="E5" s="35"/>
      <c r="F5" s="35"/>
      <c r="G5" s="35"/>
      <c r="H5" s="7" t="s">
        <v>34</v>
      </c>
      <c r="I5" s="7">
        <v>915</v>
      </c>
      <c r="J5" s="9" t="s">
        <v>30</v>
      </c>
      <c r="K5" s="9" t="s">
        <v>25</v>
      </c>
      <c r="L5" s="7" t="s">
        <v>32</v>
      </c>
      <c r="M5" s="6"/>
      <c r="N5" s="35"/>
      <c r="O5" s="35"/>
      <c r="P5" s="35"/>
      <c r="Q5" s="35"/>
    </row>
    <row r="6" spans="1:17" ht="15.75" customHeight="1">
      <c r="A6" s="35"/>
      <c r="B6" s="35"/>
      <c r="C6" s="35"/>
      <c r="D6" s="35"/>
      <c r="E6" s="35"/>
      <c r="F6" s="35"/>
      <c r="G6" s="35"/>
      <c r="H6" s="7" t="s">
        <v>35</v>
      </c>
      <c r="I6" s="7">
        <v>278</v>
      </c>
      <c r="J6" s="9" t="s">
        <v>30</v>
      </c>
      <c r="K6" s="9" t="s">
        <v>31</v>
      </c>
      <c r="L6" s="7" t="s">
        <v>32</v>
      </c>
      <c r="M6" s="6"/>
      <c r="N6" s="35"/>
      <c r="O6" s="35"/>
      <c r="P6" s="35"/>
      <c r="Q6" s="35"/>
    </row>
    <row r="7" spans="1:17" ht="15.75" customHeight="1">
      <c r="A7" s="35"/>
      <c r="B7" s="35"/>
      <c r="C7" s="35"/>
      <c r="D7" s="35"/>
      <c r="E7" s="35"/>
      <c r="F7" s="35"/>
      <c r="G7" s="35"/>
      <c r="H7" s="7" t="s">
        <v>36</v>
      </c>
      <c r="I7" s="7">
        <v>188</v>
      </c>
      <c r="J7" s="9"/>
      <c r="K7" s="9"/>
      <c r="L7" s="7"/>
      <c r="M7" s="6"/>
      <c r="N7" s="35"/>
      <c r="O7" s="35"/>
      <c r="P7" s="35"/>
      <c r="Q7" s="35"/>
    </row>
    <row r="8" spans="1:17" ht="15.75" customHeight="1">
      <c r="A8" s="35"/>
      <c r="B8" s="35"/>
      <c r="C8" s="35"/>
      <c r="D8" s="35"/>
      <c r="E8" s="35"/>
      <c r="F8" s="35"/>
      <c r="G8" s="35"/>
      <c r="H8" s="7" t="s">
        <v>37</v>
      </c>
      <c r="I8" s="7">
        <v>150</v>
      </c>
      <c r="J8" s="9"/>
      <c r="K8" s="9"/>
      <c r="L8" s="7"/>
      <c r="M8" s="6"/>
      <c r="N8" s="35"/>
      <c r="O8" s="35"/>
      <c r="P8" s="35"/>
      <c r="Q8" s="35"/>
    </row>
    <row r="9" spans="1:17" ht="15.75" customHeight="1">
      <c r="A9" s="35"/>
      <c r="B9" s="35"/>
      <c r="C9" s="35"/>
      <c r="D9" s="35"/>
      <c r="E9" s="35"/>
      <c r="F9" s="35"/>
      <c r="G9" s="35"/>
      <c r="H9" s="7" t="s">
        <v>38</v>
      </c>
      <c r="I9" s="7"/>
      <c r="J9" s="9"/>
      <c r="K9" s="9"/>
      <c r="L9" s="7"/>
      <c r="M9" s="6"/>
      <c r="N9" s="35"/>
      <c r="O9" s="35"/>
      <c r="P9" s="35"/>
      <c r="Q9" s="35"/>
    </row>
    <row r="10" spans="1:17" ht="15.75" customHeight="1">
      <c r="A10" s="53" t="s">
        <v>186</v>
      </c>
      <c r="B10" s="3"/>
      <c r="C10" s="3" t="s">
        <v>39</v>
      </c>
      <c r="D10" s="3"/>
      <c r="E10" s="3" t="s">
        <v>23</v>
      </c>
      <c r="F10" s="3" t="s">
        <v>24</v>
      </c>
      <c r="G10" s="3"/>
      <c r="H10" s="3"/>
      <c r="I10" s="3"/>
      <c r="J10" s="10"/>
      <c r="K10" s="4" t="s">
        <v>40</v>
      </c>
      <c r="L10" s="3" t="s">
        <v>32</v>
      </c>
      <c r="M10" s="6"/>
      <c r="N10" s="6"/>
      <c r="O10" s="6"/>
      <c r="P10" s="5"/>
      <c r="Q10" s="3"/>
    </row>
    <row r="11" spans="1:17" ht="15.75" customHeight="1">
      <c r="A11" s="53" t="s">
        <v>183</v>
      </c>
      <c r="B11" s="3"/>
      <c r="C11" s="3" t="s">
        <v>41</v>
      </c>
      <c r="D11" s="3">
        <v>2002</v>
      </c>
      <c r="E11" s="3" t="s">
        <v>42</v>
      </c>
      <c r="F11" s="3" t="s">
        <v>43</v>
      </c>
      <c r="G11" s="3"/>
      <c r="H11" s="3"/>
      <c r="I11" s="3">
        <v>2375</v>
      </c>
      <c r="J11" s="10"/>
      <c r="K11" s="4"/>
      <c r="L11" s="3" t="s">
        <v>20</v>
      </c>
      <c r="M11" s="6"/>
      <c r="N11" s="6"/>
      <c r="O11" s="6"/>
      <c r="P11" s="5"/>
      <c r="Q11" s="3"/>
    </row>
    <row r="12" spans="1:17" ht="15.75" customHeight="1">
      <c r="A12" s="53" t="s">
        <v>184</v>
      </c>
      <c r="B12" s="3"/>
      <c r="C12" s="3" t="s">
        <v>44</v>
      </c>
      <c r="D12" s="3" t="s">
        <v>45</v>
      </c>
      <c r="E12" s="3" t="s">
        <v>46</v>
      </c>
      <c r="F12" s="3" t="s">
        <v>43</v>
      </c>
      <c r="G12" s="3"/>
      <c r="H12" s="3"/>
      <c r="I12" s="3">
        <v>2292</v>
      </c>
      <c r="J12" s="10"/>
      <c r="K12" s="4"/>
      <c r="L12" s="3" t="s">
        <v>20</v>
      </c>
      <c r="M12" s="6"/>
      <c r="N12" s="6"/>
      <c r="O12" s="6"/>
      <c r="P12" s="5"/>
      <c r="Q12" s="3"/>
    </row>
    <row r="13" spans="1:17" ht="15.75" customHeight="1">
      <c r="A13" s="2" t="s">
        <v>47</v>
      </c>
      <c r="B13" s="3"/>
      <c r="C13" s="3" t="s">
        <v>48</v>
      </c>
      <c r="D13" s="3" t="s">
        <v>49</v>
      </c>
      <c r="E13" s="3" t="s">
        <v>50</v>
      </c>
      <c r="F13" s="3" t="s">
        <v>43</v>
      </c>
      <c r="G13" s="3"/>
      <c r="H13" s="3"/>
      <c r="I13" s="3">
        <v>760</v>
      </c>
      <c r="J13" s="10"/>
      <c r="K13" s="4"/>
      <c r="L13" s="3" t="s">
        <v>20</v>
      </c>
      <c r="M13" s="6"/>
      <c r="N13" s="6"/>
      <c r="O13" s="6"/>
      <c r="P13" s="5"/>
      <c r="Q13" s="3"/>
    </row>
    <row r="14" spans="1:17" ht="15.75" customHeight="1">
      <c r="A14" s="48" t="s">
        <v>51</v>
      </c>
      <c r="B14" s="37"/>
      <c r="C14" s="37" t="s">
        <v>52</v>
      </c>
      <c r="D14" s="37">
        <v>2022</v>
      </c>
      <c r="E14" s="37" t="s">
        <v>53</v>
      </c>
      <c r="F14" s="37" t="s">
        <v>54</v>
      </c>
      <c r="G14" s="37" t="s">
        <v>55</v>
      </c>
      <c r="H14" s="3" t="s">
        <v>56</v>
      </c>
      <c r="I14" s="3">
        <v>1454</v>
      </c>
      <c r="J14" s="10"/>
      <c r="K14" s="4"/>
      <c r="L14" s="3" t="s">
        <v>20</v>
      </c>
      <c r="M14" s="6"/>
      <c r="N14" s="6"/>
      <c r="O14" s="6"/>
      <c r="P14" s="5"/>
      <c r="Q14" s="3"/>
    </row>
    <row r="15" spans="1:17" ht="15.75" customHeight="1">
      <c r="A15" s="35"/>
      <c r="B15" s="35"/>
      <c r="C15" s="35"/>
      <c r="D15" s="35"/>
      <c r="E15" s="35"/>
      <c r="F15" s="35"/>
      <c r="G15" s="35"/>
      <c r="H15" s="3" t="s">
        <v>57</v>
      </c>
      <c r="I15" s="3" t="s">
        <v>58</v>
      </c>
      <c r="J15" s="10"/>
      <c r="K15" s="4"/>
      <c r="L15" s="3" t="s">
        <v>20</v>
      </c>
      <c r="M15" s="6"/>
      <c r="N15" s="6"/>
      <c r="O15" s="6"/>
      <c r="P15" s="5"/>
      <c r="Q15" s="3"/>
    </row>
    <row r="16" spans="1:17" ht="15.75" customHeight="1">
      <c r="A16" s="35"/>
      <c r="B16" s="35"/>
      <c r="C16" s="35"/>
      <c r="D16" s="35"/>
      <c r="E16" s="35"/>
      <c r="F16" s="35"/>
      <c r="G16" s="35"/>
      <c r="H16" s="3" t="s">
        <v>59</v>
      </c>
      <c r="I16" s="3">
        <v>776</v>
      </c>
      <c r="J16" s="10"/>
      <c r="K16" s="4"/>
      <c r="L16" s="3" t="s">
        <v>20</v>
      </c>
      <c r="M16" s="6"/>
      <c r="N16" s="6"/>
      <c r="O16" s="6"/>
      <c r="P16" s="5"/>
      <c r="Q16" s="3"/>
    </row>
    <row r="17" spans="1:21" ht="15.75" customHeight="1">
      <c r="A17" s="49" t="s">
        <v>60</v>
      </c>
      <c r="B17" s="12" t="s">
        <v>61</v>
      </c>
      <c r="C17" s="37" t="s">
        <v>62</v>
      </c>
      <c r="D17" s="37">
        <v>1976</v>
      </c>
      <c r="E17" s="37" t="s">
        <v>63</v>
      </c>
      <c r="F17" s="37" t="s">
        <v>43</v>
      </c>
      <c r="G17" s="3"/>
      <c r="H17" s="3" t="s">
        <v>64</v>
      </c>
      <c r="I17" s="3">
        <v>1100</v>
      </c>
      <c r="J17" s="10" t="s">
        <v>30</v>
      </c>
      <c r="K17" s="4"/>
      <c r="L17" s="3" t="s">
        <v>65</v>
      </c>
      <c r="M17" s="6"/>
      <c r="N17" s="36">
        <v>7500</v>
      </c>
      <c r="O17" s="36">
        <v>27000</v>
      </c>
      <c r="P17" s="38">
        <f>N17/O17</f>
        <v>0.27777777777777779</v>
      </c>
      <c r="Q17" s="3"/>
    </row>
    <row r="18" spans="1:21" ht="15.75" customHeight="1">
      <c r="A18" s="35"/>
      <c r="B18" s="3"/>
      <c r="C18" s="35"/>
      <c r="D18" s="35"/>
      <c r="E18" s="35"/>
      <c r="F18" s="35"/>
      <c r="G18" s="3"/>
      <c r="H18" s="3" t="s">
        <v>66</v>
      </c>
      <c r="I18" s="3">
        <v>890</v>
      </c>
      <c r="J18" s="10" t="s">
        <v>30</v>
      </c>
      <c r="K18" s="4"/>
      <c r="L18" s="3" t="s">
        <v>20</v>
      </c>
      <c r="M18" s="6"/>
      <c r="N18" s="35"/>
      <c r="O18" s="35"/>
      <c r="P18" s="35"/>
      <c r="Q18" s="3"/>
    </row>
    <row r="19" spans="1:21" ht="15.75" customHeight="1">
      <c r="A19" s="35"/>
      <c r="B19" s="3"/>
      <c r="C19" s="35"/>
      <c r="D19" s="35"/>
      <c r="E19" s="35"/>
      <c r="F19" s="35"/>
      <c r="G19" s="3"/>
      <c r="H19" s="3" t="s">
        <v>67</v>
      </c>
      <c r="I19" s="3">
        <v>400</v>
      </c>
      <c r="J19" s="10" t="s">
        <v>68</v>
      </c>
      <c r="K19" s="4"/>
      <c r="L19" s="3" t="s">
        <v>69</v>
      </c>
      <c r="M19" s="6"/>
      <c r="N19" s="35"/>
      <c r="O19" s="35"/>
      <c r="P19" s="35"/>
      <c r="Q19" s="3"/>
    </row>
    <row r="20" spans="1:21" ht="15.75" customHeight="1">
      <c r="A20" s="49" t="s">
        <v>70</v>
      </c>
      <c r="B20" s="12" t="s">
        <v>71</v>
      </c>
      <c r="C20" s="37" t="s">
        <v>72</v>
      </c>
      <c r="D20" s="37">
        <v>2006</v>
      </c>
      <c r="E20" s="37" t="s">
        <v>73</v>
      </c>
      <c r="F20" s="37" t="s">
        <v>24</v>
      </c>
      <c r="G20" s="37">
        <v>9</v>
      </c>
      <c r="H20" s="3" t="s">
        <v>74</v>
      </c>
      <c r="I20" s="3">
        <v>1100</v>
      </c>
      <c r="J20" s="10" t="s">
        <v>30</v>
      </c>
      <c r="K20" s="4"/>
      <c r="L20" s="3" t="s">
        <v>65</v>
      </c>
      <c r="M20" s="6"/>
      <c r="N20" s="36">
        <v>8500</v>
      </c>
      <c r="O20" s="36">
        <v>22297</v>
      </c>
      <c r="P20" s="38">
        <f>N20/O20</f>
        <v>0.381217204108176</v>
      </c>
      <c r="Q20" s="3"/>
    </row>
    <row r="21" spans="1:21" ht="15.75" customHeight="1">
      <c r="A21" s="35"/>
      <c r="B21" s="3"/>
      <c r="C21" s="35"/>
      <c r="D21" s="35"/>
      <c r="E21" s="35"/>
      <c r="F21" s="35"/>
      <c r="G21" s="35"/>
      <c r="H21" s="3" t="s">
        <v>75</v>
      </c>
      <c r="I21" s="3">
        <v>700</v>
      </c>
      <c r="J21" s="10" t="s">
        <v>30</v>
      </c>
      <c r="K21" s="4"/>
      <c r="L21" s="3" t="s">
        <v>20</v>
      </c>
      <c r="M21" s="6"/>
      <c r="N21" s="35"/>
      <c r="O21" s="35"/>
      <c r="P21" s="35"/>
      <c r="Q21" s="3"/>
      <c r="U21" s="13"/>
    </row>
    <row r="22" spans="1:21" ht="15.75" customHeight="1">
      <c r="A22" s="35"/>
      <c r="B22" s="3"/>
      <c r="C22" s="35"/>
      <c r="D22" s="35"/>
      <c r="E22" s="35"/>
      <c r="F22" s="35"/>
      <c r="G22" s="35"/>
      <c r="H22" s="3" t="s">
        <v>76</v>
      </c>
      <c r="I22" s="3">
        <v>199</v>
      </c>
      <c r="J22" s="10" t="s">
        <v>68</v>
      </c>
      <c r="K22" s="4"/>
      <c r="L22" s="3" t="s">
        <v>69</v>
      </c>
      <c r="M22" s="6"/>
      <c r="N22" s="35"/>
      <c r="O22" s="35"/>
      <c r="P22" s="35"/>
      <c r="Q22" s="3"/>
    </row>
    <row r="23" spans="1:21" ht="13">
      <c r="A23" s="49" t="s">
        <v>77</v>
      </c>
      <c r="B23" s="12" t="s">
        <v>78</v>
      </c>
      <c r="C23" s="37" t="s">
        <v>79</v>
      </c>
      <c r="D23" s="37">
        <v>1962</v>
      </c>
      <c r="E23" s="37" t="s">
        <v>80</v>
      </c>
      <c r="F23" s="37" t="s">
        <v>24</v>
      </c>
      <c r="G23" s="37">
        <v>3</v>
      </c>
      <c r="H23" s="3" t="s">
        <v>81</v>
      </c>
      <c r="I23" s="3">
        <v>1206</v>
      </c>
      <c r="J23" s="10" t="s">
        <v>30</v>
      </c>
      <c r="K23" s="4"/>
      <c r="L23" s="3" t="s">
        <v>65</v>
      </c>
      <c r="M23" s="6"/>
      <c r="N23" s="36">
        <v>3200</v>
      </c>
      <c r="O23" s="36">
        <v>7500</v>
      </c>
      <c r="P23" s="38">
        <f>N23/O23</f>
        <v>0.42666666666666669</v>
      </c>
      <c r="Q23" s="3"/>
    </row>
    <row r="24" spans="1:21" ht="13">
      <c r="A24" s="35"/>
      <c r="B24" s="3"/>
      <c r="C24" s="35"/>
      <c r="D24" s="35"/>
      <c r="E24" s="35"/>
      <c r="F24" s="35"/>
      <c r="G24" s="35"/>
      <c r="H24" s="3" t="s">
        <v>82</v>
      </c>
      <c r="I24" s="3">
        <v>283</v>
      </c>
      <c r="J24" s="10" t="s">
        <v>68</v>
      </c>
      <c r="K24" s="4"/>
      <c r="L24" s="3" t="s">
        <v>69</v>
      </c>
      <c r="M24" s="6"/>
      <c r="N24" s="35"/>
      <c r="O24" s="35"/>
      <c r="P24" s="35"/>
      <c r="Q24" s="3"/>
    </row>
    <row r="25" spans="1:21" ht="13">
      <c r="A25" s="35"/>
      <c r="B25" s="3"/>
      <c r="C25" s="35"/>
      <c r="D25" s="35"/>
      <c r="E25" s="35"/>
      <c r="F25" s="35"/>
      <c r="G25" s="35"/>
      <c r="H25" s="3" t="s">
        <v>83</v>
      </c>
      <c r="I25" s="3">
        <v>160</v>
      </c>
      <c r="J25" s="10" t="s">
        <v>68</v>
      </c>
      <c r="K25" s="4"/>
      <c r="L25" s="3" t="s">
        <v>20</v>
      </c>
      <c r="M25" s="6"/>
      <c r="N25" s="35"/>
      <c r="O25" s="35"/>
      <c r="P25" s="35"/>
      <c r="Q25" s="3"/>
    </row>
    <row r="26" spans="1:21" ht="13">
      <c r="A26" s="54" t="s">
        <v>177</v>
      </c>
      <c r="B26" s="12" t="s">
        <v>84</v>
      </c>
      <c r="C26" s="3" t="s">
        <v>85</v>
      </c>
      <c r="D26" s="3">
        <v>1957</v>
      </c>
      <c r="E26" s="3" t="s">
        <v>86</v>
      </c>
      <c r="F26" s="3" t="s">
        <v>24</v>
      </c>
      <c r="G26" s="3">
        <v>2</v>
      </c>
      <c r="H26" s="3" t="s">
        <v>81</v>
      </c>
      <c r="I26" s="3">
        <v>2192</v>
      </c>
      <c r="J26" s="10" t="s">
        <v>30</v>
      </c>
      <c r="K26" s="4"/>
      <c r="L26" s="3" t="s">
        <v>65</v>
      </c>
      <c r="M26" s="6"/>
      <c r="N26" s="6">
        <v>3500</v>
      </c>
      <c r="O26" s="6">
        <v>7150</v>
      </c>
      <c r="P26" s="5">
        <f t="shared" ref="P26:P28" si="0">N26/O26</f>
        <v>0.48951048951048953</v>
      </c>
      <c r="Q26" s="3"/>
    </row>
    <row r="27" spans="1:21" ht="13">
      <c r="A27" s="11" t="s">
        <v>87</v>
      </c>
      <c r="B27" s="56" t="s">
        <v>179</v>
      </c>
      <c r="C27" s="3" t="s">
        <v>88</v>
      </c>
      <c r="D27" s="3">
        <v>1970</v>
      </c>
      <c r="E27" s="3" t="s">
        <v>89</v>
      </c>
      <c r="F27" s="3" t="s">
        <v>24</v>
      </c>
      <c r="G27" s="3">
        <v>3</v>
      </c>
      <c r="H27" s="55" t="s">
        <v>178</v>
      </c>
      <c r="I27" s="3">
        <v>1200</v>
      </c>
      <c r="J27" s="10" t="s">
        <v>30</v>
      </c>
      <c r="K27" s="4"/>
      <c r="L27" s="3" t="s">
        <v>65</v>
      </c>
      <c r="M27" s="6"/>
      <c r="N27" s="6">
        <v>3800</v>
      </c>
      <c r="O27" s="6">
        <v>7150</v>
      </c>
      <c r="P27" s="5">
        <f t="shared" si="0"/>
        <v>0.53146853146853146</v>
      </c>
      <c r="Q27" s="3"/>
    </row>
    <row r="28" spans="1:21" ht="13">
      <c r="A28" s="49" t="s">
        <v>90</v>
      </c>
      <c r="B28" s="14" t="s">
        <v>91</v>
      </c>
      <c r="C28" s="37" t="s">
        <v>92</v>
      </c>
      <c r="D28" s="37">
        <v>1935</v>
      </c>
      <c r="E28" s="37" t="s">
        <v>93</v>
      </c>
      <c r="F28" s="37" t="s">
        <v>24</v>
      </c>
      <c r="G28" s="3"/>
      <c r="H28" s="3" t="s">
        <v>94</v>
      </c>
      <c r="I28" s="3">
        <v>775</v>
      </c>
      <c r="J28" s="10" t="s">
        <v>68</v>
      </c>
      <c r="K28" s="4"/>
      <c r="L28" s="3" t="s">
        <v>65</v>
      </c>
      <c r="M28" s="6"/>
      <c r="N28" s="6">
        <v>1800</v>
      </c>
      <c r="O28" s="6">
        <v>5500</v>
      </c>
      <c r="P28" s="5">
        <f t="shared" si="0"/>
        <v>0.32727272727272727</v>
      </c>
      <c r="Q28" s="3"/>
    </row>
    <row r="29" spans="1:21" ht="13">
      <c r="A29" s="35"/>
      <c r="B29" s="3"/>
      <c r="C29" s="35"/>
      <c r="D29" s="35"/>
      <c r="E29" s="35"/>
      <c r="F29" s="35"/>
      <c r="G29" s="3"/>
      <c r="H29" s="3" t="s">
        <v>95</v>
      </c>
      <c r="I29" s="3">
        <v>296</v>
      </c>
      <c r="J29" s="10" t="s">
        <v>68</v>
      </c>
      <c r="K29" s="4"/>
      <c r="L29" s="3" t="s">
        <v>96</v>
      </c>
      <c r="M29" s="6"/>
      <c r="N29" s="6"/>
      <c r="P29" s="5"/>
      <c r="Q29" s="3"/>
    </row>
    <row r="30" spans="1:21" ht="13">
      <c r="A30" s="11" t="s">
        <v>97</v>
      </c>
      <c r="B30" s="3"/>
      <c r="C30" s="3" t="s">
        <v>98</v>
      </c>
      <c r="D30" s="3">
        <v>1984</v>
      </c>
      <c r="E30" s="3" t="s">
        <v>99</v>
      </c>
      <c r="F30" s="3" t="s">
        <v>54</v>
      </c>
      <c r="G30" s="3"/>
      <c r="H30" s="3"/>
      <c r="I30" s="3">
        <v>800</v>
      </c>
      <c r="J30" s="10" t="s">
        <v>30</v>
      </c>
      <c r="K30" s="4" t="s">
        <v>100</v>
      </c>
      <c r="L30" s="3" t="s">
        <v>65</v>
      </c>
      <c r="M30" s="6"/>
      <c r="N30" s="6">
        <v>1200</v>
      </c>
      <c r="O30" s="15">
        <v>2500</v>
      </c>
      <c r="P30" s="5">
        <f>N30/O30</f>
        <v>0.48</v>
      </c>
      <c r="Q30" s="3" t="s">
        <v>101</v>
      </c>
    </row>
    <row r="31" spans="1:21" ht="13">
      <c r="A31" s="16" t="s">
        <v>102</v>
      </c>
      <c r="B31" s="17"/>
      <c r="C31" s="17" t="s">
        <v>103</v>
      </c>
      <c r="D31" s="17"/>
      <c r="E31" s="7" t="s">
        <v>23</v>
      </c>
      <c r="F31" s="7" t="s">
        <v>24</v>
      </c>
      <c r="G31" s="17"/>
      <c r="H31" s="17"/>
      <c r="I31" s="17"/>
      <c r="J31" s="18" t="s">
        <v>68</v>
      </c>
      <c r="K31" s="17"/>
      <c r="L31" s="7" t="s">
        <v>65</v>
      </c>
      <c r="M31" s="8"/>
      <c r="N31" s="8"/>
    </row>
    <row r="32" spans="1:21" ht="13">
      <c r="A32" s="44" t="s">
        <v>180</v>
      </c>
      <c r="B32" s="43" t="s">
        <v>104</v>
      </c>
      <c r="C32" s="42" t="s">
        <v>105</v>
      </c>
      <c r="D32" s="37">
        <v>1989</v>
      </c>
      <c r="E32" s="42" t="s">
        <v>106</v>
      </c>
      <c r="F32" s="42" t="s">
        <v>54</v>
      </c>
      <c r="G32" s="51">
        <v>46204</v>
      </c>
      <c r="H32" s="19" t="s">
        <v>40</v>
      </c>
      <c r="I32" s="19">
        <v>1971</v>
      </c>
      <c r="J32" s="10" t="s">
        <v>30</v>
      </c>
      <c r="K32" s="10" t="s">
        <v>40</v>
      </c>
      <c r="L32" s="20" t="s">
        <v>107</v>
      </c>
      <c r="M32" s="21"/>
      <c r="N32" s="41">
        <v>53000</v>
      </c>
      <c r="O32" s="41">
        <v>82000</v>
      </c>
      <c r="P32" s="39">
        <f>N32/O32</f>
        <v>0.64634146341463417</v>
      </c>
      <c r="Q32" s="37" t="s">
        <v>108</v>
      </c>
    </row>
    <row r="33" spans="1:17" ht="13">
      <c r="A33" s="35"/>
      <c r="B33" s="35"/>
      <c r="C33" s="35"/>
      <c r="D33" s="35"/>
      <c r="E33" s="35"/>
      <c r="F33" s="35"/>
      <c r="G33" s="35"/>
      <c r="H33" s="19" t="s">
        <v>109</v>
      </c>
      <c r="I33" s="19">
        <v>1734</v>
      </c>
      <c r="J33" s="10" t="s">
        <v>30</v>
      </c>
      <c r="K33" s="10" t="s">
        <v>110</v>
      </c>
      <c r="L33" s="20" t="s">
        <v>20</v>
      </c>
      <c r="M33" s="21"/>
      <c r="N33" s="35"/>
      <c r="O33" s="35"/>
      <c r="P33" s="35"/>
      <c r="Q33" s="35"/>
    </row>
    <row r="34" spans="1:17" ht="12.5">
      <c r="A34" s="35"/>
      <c r="B34" s="35"/>
      <c r="C34" s="35"/>
      <c r="D34" s="35"/>
      <c r="E34" s="35"/>
      <c r="F34" s="35"/>
      <c r="G34" s="35"/>
      <c r="H34" s="22" t="s">
        <v>111</v>
      </c>
      <c r="I34" s="22">
        <v>496</v>
      </c>
      <c r="J34" s="22" t="s">
        <v>112</v>
      </c>
      <c r="K34" s="22" t="s">
        <v>113</v>
      </c>
      <c r="L34" s="22" t="s">
        <v>69</v>
      </c>
      <c r="M34" s="21"/>
      <c r="N34" s="35"/>
      <c r="O34" s="35"/>
      <c r="P34" s="35"/>
      <c r="Q34" s="35"/>
    </row>
    <row r="35" spans="1:17" ht="13">
      <c r="A35" s="44" t="s">
        <v>114</v>
      </c>
      <c r="B35" s="45" t="s">
        <v>115</v>
      </c>
      <c r="C35" s="42" t="s">
        <v>116</v>
      </c>
      <c r="D35" s="37">
        <v>2017</v>
      </c>
      <c r="E35" s="42" t="s">
        <v>117</v>
      </c>
      <c r="F35" s="42" t="s">
        <v>54</v>
      </c>
      <c r="G35" s="51">
        <v>46082</v>
      </c>
      <c r="H35" s="23" t="s">
        <v>118</v>
      </c>
      <c r="I35" s="24">
        <v>2234</v>
      </c>
      <c r="J35" s="10" t="s">
        <v>30</v>
      </c>
      <c r="K35" s="10" t="s">
        <v>25</v>
      </c>
      <c r="L35" s="25" t="s">
        <v>20</v>
      </c>
      <c r="M35" s="21"/>
      <c r="N35" s="41">
        <v>85000</v>
      </c>
      <c r="O35" s="41">
        <v>141000</v>
      </c>
      <c r="P35" s="38">
        <f>N35/O35</f>
        <v>0.6028368794326241</v>
      </c>
      <c r="Q35" s="37" t="s">
        <v>108</v>
      </c>
    </row>
    <row r="36" spans="1:17" ht="13">
      <c r="A36" s="35"/>
      <c r="B36" s="35"/>
      <c r="C36" s="35"/>
      <c r="D36" s="35"/>
      <c r="E36" s="35"/>
      <c r="F36" s="35"/>
      <c r="G36" s="35"/>
      <c r="H36" s="23" t="s">
        <v>119</v>
      </c>
      <c r="I36" s="26">
        <v>1981</v>
      </c>
      <c r="J36" s="10" t="s">
        <v>30</v>
      </c>
      <c r="K36" s="25" t="s">
        <v>40</v>
      </c>
      <c r="L36" s="25" t="s">
        <v>107</v>
      </c>
      <c r="M36" s="21"/>
      <c r="N36" s="35"/>
      <c r="O36" s="35"/>
      <c r="P36" s="35"/>
      <c r="Q36" s="35"/>
    </row>
    <row r="37" spans="1:17" ht="13">
      <c r="A37" s="35"/>
      <c r="B37" s="35"/>
      <c r="C37" s="35"/>
      <c r="D37" s="35"/>
      <c r="E37" s="35"/>
      <c r="F37" s="35"/>
      <c r="G37" s="35"/>
      <c r="H37" s="23" t="s">
        <v>120</v>
      </c>
      <c r="I37" s="26">
        <v>1210</v>
      </c>
      <c r="J37" s="10" t="s">
        <v>30</v>
      </c>
      <c r="K37" s="25" t="s">
        <v>121</v>
      </c>
      <c r="L37" s="25" t="s">
        <v>65</v>
      </c>
      <c r="M37" s="21"/>
      <c r="N37" s="35"/>
      <c r="O37" s="35"/>
      <c r="P37" s="35"/>
      <c r="Q37" s="35"/>
    </row>
    <row r="38" spans="1:17" ht="12.5">
      <c r="A38" s="35"/>
      <c r="B38" s="35"/>
      <c r="C38" s="35"/>
      <c r="D38" s="35"/>
      <c r="E38" s="35"/>
      <c r="F38" s="35"/>
      <c r="G38" s="35"/>
      <c r="H38" s="22" t="s">
        <v>122</v>
      </c>
      <c r="I38" s="22">
        <v>434</v>
      </c>
      <c r="J38" s="22" t="s">
        <v>30</v>
      </c>
      <c r="K38" s="22" t="s">
        <v>31</v>
      </c>
      <c r="L38" s="22" t="s">
        <v>32</v>
      </c>
      <c r="M38" s="21"/>
      <c r="N38" s="35"/>
      <c r="O38" s="35"/>
      <c r="P38" s="35"/>
      <c r="Q38" s="35"/>
    </row>
    <row r="39" spans="1:17" ht="13">
      <c r="A39" s="46" t="s">
        <v>123</v>
      </c>
      <c r="B39" s="47" t="s">
        <v>124</v>
      </c>
      <c r="C39" s="42" t="s">
        <v>125</v>
      </c>
      <c r="D39" s="42" t="s">
        <v>126</v>
      </c>
      <c r="E39" s="37" t="s">
        <v>127</v>
      </c>
      <c r="F39" s="37" t="s">
        <v>43</v>
      </c>
      <c r="G39" s="37">
        <v>26</v>
      </c>
      <c r="H39" s="19" t="s">
        <v>128</v>
      </c>
      <c r="I39" s="29">
        <v>2100</v>
      </c>
      <c r="J39" s="29" t="s">
        <v>30</v>
      </c>
      <c r="K39" s="20" t="s">
        <v>40</v>
      </c>
      <c r="L39" s="20" t="s">
        <v>107</v>
      </c>
      <c r="M39" s="30"/>
      <c r="N39" s="40">
        <v>40000</v>
      </c>
      <c r="O39" s="40">
        <v>125512</v>
      </c>
      <c r="P39" s="39">
        <f>N39:N41/O39:O41</f>
        <v>0.31869462680859201</v>
      </c>
      <c r="Q39" s="37" t="s">
        <v>129</v>
      </c>
    </row>
    <row r="40" spans="1:17" ht="12.5">
      <c r="A40" s="35"/>
      <c r="B40" s="35"/>
      <c r="C40" s="35"/>
      <c r="D40" s="35"/>
      <c r="E40" s="35"/>
      <c r="F40" s="35"/>
      <c r="G40" s="35"/>
      <c r="H40" s="22" t="s">
        <v>130</v>
      </c>
      <c r="I40" s="22">
        <v>550</v>
      </c>
      <c r="J40" s="22" t="s">
        <v>68</v>
      </c>
      <c r="K40" s="22" t="s">
        <v>31</v>
      </c>
      <c r="L40" s="22" t="s">
        <v>32</v>
      </c>
      <c r="M40" s="30"/>
      <c r="N40" s="35"/>
      <c r="O40" s="35"/>
      <c r="P40" s="35"/>
      <c r="Q40" s="35"/>
    </row>
    <row r="41" spans="1:17" ht="12.5">
      <c r="A41" s="35"/>
      <c r="B41" s="35"/>
      <c r="C41" s="35"/>
      <c r="D41" s="35"/>
      <c r="E41" s="35"/>
      <c r="F41" s="35"/>
      <c r="G41" s="35"/>
      <c r="H41" s="22" t="s">
        <v>131</v>
      </c>
      <c r="I41" s="22">
        <v>150</v>
      </c>
      <c r="J41" s="22" t="s">
        <v>68</v>
      </c>
      <c r="K41" s="22" t="s">
        <v>132</v>
      </c>
      <c r="L41" s="22" t="s">
        <v>133</v>
      </c>
      <c r="M41" s="30"/>
      <c r="N41" s="35"/>
      <c r="O41" s="35"/>
      <c r="P41" s="35"/>
      <c r="Q41" s="35"/>
    </row>
    <row r="42" spans="1:17" ht="13">
      <c r="A42" s="46" t="s">
        <v>134</v>
      </c>
      <c r="B42" s="47" t="s">
        <v>135</v>
      </c>
      <c r="C42" s="42" t="s">
        <v>136</v>
      </c>
      <c r="D42" s="42">
        <v>2011</v>
      </c>
      <c r="E42" s="37" t="s">
        <v>137</v>
      </c>
      <c r="F42" s="37" t="s">
        <v>19</v>
      </c>
      <c r="G42" s="50">
        <v>46144</v>
      </c>
      <c r="H42" s="19" t="s">
        <v>40</v>
      </c>
      <c r="I42" s="26">
        <v>1704</v>
      </c>
      <c r="J42" s="29" t="s">
        <v>30</v>
      </c>
      <c r="K42" s="25" t="s">
        <v>40</v>
      </c>
      <c r="L42" s="25" t="s">
        <v>107</v>
      </c>
      <c r="M42" s="6"/>
      <c r="N42" s="36">
        <v>22000</v>
      </c>
      <c r="O42" s="36">
        <v>38500</v>
      </c>
      <c r="P42" s="38">
        <f>N42/O42</f>
        <v>0.5714285714285714</v>
      </c>
      <c r="Q42" s="37" t="s">
        <v>138</v>
      </c>
    </row>
    <row r="43" spans="1:17" ht="12.5">
      <c r="A43" s="35"/>
      <c r="B43" s="35"/>
      <c r="C43" s="35"/>
      <c r="D43" s="35"/>
      <c r="E43" s="35"/>
      <c r="F43" s="35"/>
      <c r="G43" s="35"/>
      <c r="H43" s="22" t="s">
        <v>139</v>
      </c>
      <c r="I43" s="22">
        <v>320</v>
      </c>
      <c r="J43" s="22" t="s">
        <v>68</v>
      </c>
      <c r="K43" s="22" t="s">
        <v>132</v>
      </c>
      <c r="L43" s="22" t="s">
        <v>133</v>
      </c>
      <c r="M43" s="6"/>
      <c r="N43" s="35"/>
      <c r="O43" s="35"/>
      <c r="P43" s="35"/>
      <c r="Q43" s="35"/>
    </row>
    <row r="44" spans="1:17" ht="12.5">
      <c r="A44" s="35"/>
      <c r="B44" s="35"/>
      <c r="C44" s="35"/>
      <c r="D44" s="35"/>
      <c r="E44" s="35"/>
      <c r="F44" s="35"/>
      <c r="G44" s="35"/>
      <c r="H44" s="22" t="s">
        <v>69</v>
      </c>
      <c r="I44" s="22">
        <v>220</v>
      </c>
      <c r="J44" s="22" t="s">
        <v>68</v>
      </c>
      <c r="K44" s="22" t="s">
        <v>132</v>
      </c>
      <c r="L44" s="22" t="s">
        <v>69</v>
      </c>
      <c r="M44" s="6"/>
      <c r="N44" s="35"/>
      <c r="O44" s="35"/>
      <c r="P44" s="35"/>
      <c r="Q44" s="35"/>
    </row>
    <row r="45" spans="1:17" ht="12.5">
      <c r="A45" s="35"/>
      <c r="B45" s="35"/>
      <c r="C45" s="35"/>
      <c r="D45" s="35"/>
      <c r="E45" s="35"/>
      <c r="F45" s="35"/>
      <c r="G45" s="35"/>
      <c r="H45" s="22" t="s">
        <v>140</v>
      </c>
      <c r="I45" s="22">
        <v>239</v>
      </c>
      <c r="J45" s="22" t="s">
        <v>30</v>
      </c>
      <c r="K45" s="22" t="s">
        <v>31</v>
      </c>
      <c r="L45" s="22" t="s">
        <v>32</v>
      </c>
      <c r="M45" s="6"/>
      <c r="N45" s="35"/>
      <c r="O45" s="35"/>
      <c r="P45" s="35"/>
      <c r="Q45" s="35"/>
    </row>
    <row r="46" spans="1:17" ht="12.5">
      <c r="A46" s="35"/>
      <c r="B46" s="35"/>
      <c r="C46" s="35"/>
      <c r="D46" s="35"/>
      <c r="E46" s="35"/>
      <c r="F46" s="35"/>
      <c r="G46" s="35"/>
      <c r="H46" s="22" t="s">
        <v>141</v>
      </c>
      <c r="I46" s="22">
        <v>140</v>
      </c>
      <c r="J46" s="22" t="s">
        <v>68</v>
      </c>
      <c r="K46" s="22" t="s">
        <v>31</v>
      </c>
      <c r="L46" s="22" t="s">
        <v>133</v>
      </c>
      <c r="M46" s="6"/>
      <c r="N46" s="35"/>
      <c r="O46" s="35"/>
      <c r="P46" s="35"/>
      <c r="Q46" s="35"/>
    </row>
    <row r="47" spans="1:17" ht="12.5">
      <c r="A47" s="35"/>
      <c r="B47" s="35"/>
      <c r="C47" s="35"/>
      <c r="D47" s="35"/>
      <c r="E47" s="35"/>
      <c r="F47" s="35"/>
      <c r="G47" s="35"/>
      <c r="H47" s="22" t="s">
        <v>142</v>
      </c>
      <c r="I47" s="22">
        <v>278</v>
      </c>
      <c r="J47" s="22" t="s">
        <v>68</v>
      </c>
      <c r="K47" s="22" t="s">
        <v>143</v>
      </c>
      <c r="L47" s="22" t="s">
        <v>32</v>
      </c>
      <c r="M47" s="6"/>
      <c r="N47" s="35"/>
      <c r="O47" s="35"/>
      <c r="P47" s="35"/>
      <c r="Q47" s="35"/>
    </row>
    <row r="48" spans="1:17" ht="12.5">
      <c r="A48" s="27" t="s">
        <v>144</v>
      </c>
      <c r="B48" s="3"/>
      <c r="C48" s="4" t="s">
        <v>22</v>
      </c>
      <c r="D48" s="4" t="s">
        <v>145</v>
      </c>
      <c r="E48" s="3" t="s">
        <v>23</v>
      </c>
      <c r="F48" s="3" t="s">
        <v>24</v>
      </c>
      <c r="G48" s="3"/>
      <c r="H48" s="6"/>
      <c r="I48" s="6">
        <v>2200</v>
      </c>
      <c r="J48" s="3"/>
      <c r="K48" s="3" t="s">
        <v>40</v>
      </c>
      <c r="L48" s="3" t="s">
        <v>107</v>
      </c>
      <c r="M48" s="6"/>
      <c r="N48" s="6"/>
      <c r="O48" s="6">
        <v>45708</v>
      </c>
      <c r="P48" s="5"/>
      <c r="Q48" s="3"/>
    </row>
    <row r="49" spans="1:17" ht="12.5">
      <c r="A49" s="27" t="s">
        <v>146</v>
      </c>
      <c r="B49" s="3"/>
      <c r="C49" s="4" t="s">
        <v>147</v>
      </c>
      <c r="D49" s="4">
        <v>2009</v>
      </c>
      <c r="E49" s="3" t="s">
        <v>148</v>
      </c>
      <c r="F49" s="3" t="s">
        <v>19</v>
      </c>
      <c r="G49" s="3">
        <v>11</v>
      </c>
      <c r="H49" s="6"/>
      <c r="I49" s="6">
        <v>1800</v>
      </c>
      <c r="J49" s="3"/>
      <c r="K49" s="3" t="s">
        <v>40</v>
      </c>
      <c r="L49" s="3" t="s">
        <v>107</v>
      </c>
      <c r="M49" s="6"/>
      <c r="N49" s="6"/>
      <c r="O49" s="6">
        <v>25000</v>
      </c>
      <c r="P49" s="5"/>
      <c r="Q49" s="3"/>
    </row>
    <row r="50" spans="1:17" ht="13">
      <c r="A50" s="52" t="s">
        <v>181</v>
      </c>
      <c r="B50" s="47" t="s">
        <v>149</v>
      </c>
      <c r="C50" s="42" t="s">
        <v>150</v>
      </c>
      <c r="D50" s="42" t="s">
        <v>151</v>
      </c>
      <c r="E50" s="37" t="s">
        <v>152</v>
      </c>
      <c r="F50" s="37" t="s">
        <v>24</v>
      </c>
      <c r="G50" s="50">
        <v>46083</v>
      </c>
      <c r="H50" s="23" t="s">
        <v>153</v>
      </c>
      <c r="I50" s="26">
        <v>683</v>
      </c>
      <c r="J50" s="29" t="s">
        <v>30</v>
      </c>
      <c r="K50" s="25" t="s">
        <v>121</v>
      </c>
      <c r="L50" s="25" t="s">
        <v>96</v>
      </c>
      <c r="M50" s="6"/>
      <c r="N50" s="36">
        <v>11000</v>
      </c>
      <c r="O50" s="36">
        <v>17837</v>
      </c>
      <c r="P50" s="38">
        <f>N50/O50</f>
        <v>0.6166956326736559</v>
      </c>
      <c r="Q50" s="37" t="s">
        <v>101</v>
      </c>
    </row>
    <row r="51" spans="1:17" ht="13">
      <c r="A51" s="35"/>
      <c r="B51" s="35"/>
      <c r="C51" s="35"/>
      <c r="D51" s="35"/>
      <c r="E51" s="35"/>
      <c r="F51" s="35"/>
      <c r="G51" s="35"/>
      <c r="H51" s="26" t="s">
        <v>154</v>
      </c>
      <c r="I51" s="26">
        <v>514</v>
      </c>
      <c r="J51" s="26" t="s">
        <v>30</v>
      </c>
      <c r="K51" s="26" t="s">
        <v>121</v>
      </c>
      <c r="L51" s="26" t="s">
        <v>65</v>
      </c>
      <c r="M51" s="6"/>
      <c r="N51" s="35"/>
      <c r="O51" s="35"/>
      <c r="P51" s="35"/>
      <c r="Q51" s="35"/>
    </row>
    <row r="52" spans="1:17" ht="12.5">
      <c r="A52" s="35"/>
      <c r="B52" s="35"/>
      <c r="C52" s="35"/>
      <c r="D52" s="35"/>
      <c r="E52" s="35"/>
      <c r="F52" s="35"/>
      <c r="G52" s="35"/>
      <c r="H52" s="22" t="s">
        <v>155</v>
      </c>
      <c r="I52" s="7">
        <v>200</v>
      </c>
      <c r="J52" s="7" t="s">
        <v>30</v>
      </c>
      <c r="K52" s="7" t="s">
        <v>113</v>
      </c>
      <c r="L52" s="7" t="s">
        <v>133</v>
      </c>
      <c r="M52" s="6"/>
      <c r="N52" s="35"/>
      <c r="O52" s="35"/>
      <c r="P52" s="35"/>
      <c r="Q52" s="35"/>
    </row>
    <row r="53" spans="1:17" ht="13">
      <c r="A53" s="31" t="s">
        <v>156</v>
      </c>
      <c r="B53" s="28" t="s">
        <v>157</v>
      </c>
      <c r="C53" s="4" t="s">
        <v>158</v>
      </c>
      <c r="D53" s="4" t="s">
        <v>159</v>
      </c>
      <c r="E53" s="3" t="s">
        <v>160</v>
      </c>
      <c r="F53" s="3" t="s">
        <v>43</v>
      </c>
      <c r="G53" s="3">
        <v>4</v>
      </c>
      <c r="H53" s="32" t="s">
        <v>156</v>
      </c>
      <c r="I53" s="26">
        <v>683</v>
      </c>
      <c r="J53" s="29" t="s">
        <v>30</v>
      </c>
      <c r="K53" s="25" t="s">
        <v>31</v>
      </c>
      <c r="L53" s="25" t="s">
        <v>96</v>
      </c>
      <c r="M53" s="6"/>
      <c r="N53" s="6">
        <v>700</v>
      </c>
      <c r="O53" s="6">
        <v>6500</v>
      </c>
      <c r="P53" s="5">
        <f t="shared" ref="P53:P55" si="1">N53/O53</f>
        <v>0.1076923076923077</v>
      </c>
      <c r="Q53" s="3" t="s">
        <v>161</v>
      </c>
    </row>
    <row r="54" spans="1:17" ht="13">
      <c r="A54" s="57" t="s">
        <v>182</v>
      </c>
      <c r="B54" s="28" t="s">
        <v>162</v>
      </c>
      <c r="C54" s="4" t="s">
        <v>163</v>
      </c>
      <c r="D54" s="4" t="s">
        <v>164</v>
      </c>
      <c r="E54" s="3" t="s">
        <v>165</v>
      </c>
      <c r="F54" s="3" t="s">
        <v>43</v>
      </c>
      <c r="G54" s="3">
        <v>5</v>
      </c>
      <c r="H54" s="32" t="s">
        <v>166</v>
      </c>
      <c r="I54" s="26">
        <v>700</v>
      </c>
      <c r="J54" s="29" t="s">
        <v>30</v>
      </c>
      <c r="K54" s="25" t="s">
        <v>121</v>
      </c>
      <c r="L54" s="25" t="s">
        <v>96</v>
      </c>
      <c r="M54" s="6"/>
      <c r="N54" s="6">
        <v>14000</v>
      </c>
      <c r="O54" s="6">
        <v>48000</v>
      </c>
      <c r="P54" s="5">
        <f t="shared" si="1"/>
        <v>0.29166666666666669</v>
      </c>
      <c r="Q54" s="3" t="s">
        <v>167</v>
      </c>
    </row>
    <row r="55" spans="1:17" ht="13">
      <c r="A55" s="57" t="s">
        <v>185</v>
      </c>
      <c r="B55" s="28" t="s">
        <v>168</v>
      </c>
      <c r="C55" s="4" t="s">
        <v>169</v>
      </c>
      <c r="D55" s="4" t="s">
        <v>170</v>
      </c>
      <c r="E55" s="3" t="s">
        <v>171</v>
      </c>
      <c r="F55" s="3" t="s">
        <v>172</v>
      </c>
      <c r="G55" s="3">
        <v>1</v>
      </c>
      <c r="H55" s="32" t="s">
        <v>173</v>
      </c>
      <c r="I55" s="26">
        <v>764</v>
      </c>
      <c r="J55" s="29" t="s">
        <v>30</v>
      </c>
      <c r="K55" s="25" t="s">
        <v>113</v>
      </c>
      <c r="L55" s="25" t="s">
        <v>174</v>
      </c>
      <c r="M55" s="6"/>
      <c r="N55" s="6">
        <v>2200</v>
      </c>
      <c r="O55" s="6">
        <v>22026</v>
      </c>
      <c r="P55" s="5">
        <f t="shared" si="1"/>
        <v>9.9881957686370648E-2</v>
      </c>
      <c r="Q55" s="3" t="s">
        <v>175</v>
      </c>
    </row>
    <row r="56" spans="1:17" ht="12.5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</row>
    <row r="57" spans="1:17" ht="12.5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</row>
    <row r="58" spans="1:17" ht="12.5"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</row>
  </sheetData>
  <mergeCells count="104">
    <mergeCell ref="G14:G16"/>
    <mergeCell ref="E20:E22"/>
    <mergeCell ref="E35:E38"/>
    <mergeCell ref="A32:A34"/>
    <mergeCell ref="F32:F34"/>
    <mergeCell ref="G35:G38"/>
    <mergeCell ref="G32:G34"/>
    <mergeCell ref="A50:A52"/>
    <mergeCell ref="B50:B52"/>
    <mergeCell ref="C50:C52"/>
    <mergeCell ref="E42:E47"/>
    <mergeCell ref="E50:E52"/>
    <mergeCell ref="D50:D52"/>
    <mergeCell ref="D42:D47"/>
    <mergeCell ref="F42:F47"/>
    <mergeCell ref="F50:F52"/>
    <mergeCell ref="G50:G52"/>
    <mergeCell ref="G42:G47"/>
    <mergeCell ref="F39:F41"/>
    <mergeCell ref="E39:E41"/>
    <mergeCell ref="G39:G41"/>
    <mergeCell ref="D39:D41"/>
    <mergeCell ref="C39:C41"/>
    <mergeCell ref="C42:C47"/>
    <mergeCell ref="A42:A47"/>
    <mergeCell ref="B42:B47"/>
    <mergeCell ref="A39:A41"/>
    <mergeCell ref="B39:B41"/>
    <mergeCell ref="A14:A16"/>
    <mergeCell ref="B14:B16"/>
    <mergeCell ref="D14:D16"/>
    <mergeCell ref="A17:A19"/>
    <mergeCell ref="A20:A22"/>
    <mergeCell ref="C20:C22"/>
    <mergeCell ref="D20:D22"/>
    <mergeCell ref="A23:A25"/>
    <mergeCell ref="C23:C25"/>
    <mergeCell ref="A28:A29"/>
    <mergeCell ref="D32:D34"/>
    <mergeCell ref="N4:N9"/>
    <mergeCell ref="C14:C16"/>
    <mergeCell ref="C17:C19"/>
    <mergeCell ref="C35:C38"/>
    <mergeCell ref="C32:C34"/>
    <mergeCell ref="B32:B34"/>
    <mergeCell ref="C28:C29"/>
    <mergeCell ref="D35:D38"/>
    <mergeCell ref="A35:A38"/>
    <mergeCell ref="B35:B38"/>
    <mergeCell ref="E14:E16"/>
    <mergeCell ref="F14:F16"/>
    <mergeCell ref="F17:F19"/>
    <mergeCell ref="F20:F22"/>
    <mergeCell ref="G20:G22"/>
    <mergeCell ref="F35:F38"/>
    <mergeCell ref="E32:E34"/>
    <mergeCell ref="A4:A9"/>
    <mergeCell ref="B4:B9"/>
    <mergeCell ref="C4:C9"/>
    <mergeCell ref="D4:D9"/>
    <mergeCell ref="E4:E9"/>
    <mergeCell ref="F4:F9"/>
    <mergeCell ref="G4:G9"/>
    <mergeCell ref="N17:N19"/>
    <mergeCell ref="N20:N22"/>
    <mergeCell ref="F23:F25"/>
    <mergeCell ref="G23:G25"/>
    <mergeCell ref="D28:D29"/>
    <mergeCell ref="E28:E29"/>
    <mergeCell ref="F28:F29"/>
    <mergeCell ref="D17:D19"/>
    <mergeCell ref="E17:E19"/>
    <mergeCell ref="D23:D25"/>
    <mergeCell ref="E23:E25"/>
    <mergeCell ref="Q50:Q52"/>
    <mergeCell ref="P50:P52"/>
    <mergeCell ref="O39:O41"/>
    <mergeCell ref="O42:O47"/>
    <mergeCell ref="N50:N52"/>
    <mergeCell ref="O50:O52"/>
    <mergeCell ref="N23:N25"/>
    <mergeCell ref="O23:O25"/>
    <mergeCell ref="N39:N41"/>
    <mergeCell ref="N42:N47"/>
    <mergeCell ref="N32:N34"/>
    <mergeCell ref="N35:N38"/>
    <mergeCell ref="O32:O34"/>
    <mergeCell ref="O35:O38"/>
    <mergeCell ref="O4:O9"/>
    <mergeCell ref="O20:O22"/>
    <mergeCell ref="Q32:Q34"/>
    <mergeCell ref="Q35:Q38"/>
    <mergeCell ref="P42:P47"/>
    <mergeCell ref="P39:P41"/>
    <mergeCell ref="Q42:Q47"/>
    <mergeCell ref="Q39:Q41"/>
    <mergeCell ref="P4:P9"/>
    <mergeCell ref="Q4:Q9"/>
    <mergeCell ref="P23:P25"/>
    <mergeCell ref="P32:P34"/>
    <mergeCell ref="P35:P38"/>
    <mergeCell ref="O17:O19"/>
    <mergeCell ref="P17:P19"/>
    <mergeCell ref="P20:P22"/>
  </mergeCells>
  <phoneticPr fontId="22" type="noConversion"/>
  <dataValidations count="6">
    <dataValidation type="list" allowBlank="1" showErrorMessage="1" sqref="F2:F4 F10:F14 F17 F20 F23 F26:F28 F30:F32 F35 F39 F42 F48:F50 F53:F55" xr:uid="{00000000-0002-0000-0000-000000000000}">
      <formula1>"North Europe,Europe,North America,Asia,South America"</formula1>
    </dataValidation>
    <dataValidation type="list" allowBlank="1" showErrorMessage="1" sqref="K2:K30 K32:K55" xr:uid="{00000000-0002-0000-0000-000001000000}">
      <formula1>"Concert Hall,Opera House,Experimental,Chamber Music,Playhouse,Multimedia,Rehearsal"</formula1>
    </dataValidation>
    <dataValidation type="list" allowBlank="1" showErrorMessage="1" sqref="J4:J6 J17:J47 J50:J55" xr:uid="{00000000-0002-0000-0000-000002000000}">
      <formula1>"Fixed,No Fixed,Module"</formula1>
    </dataValidation>
    <dataValidation type="list" allowBlank="1" showErrorMessage="1" sqref="Q4 Q29:Q30 Q32 Q35 Q39 Q42 Q48:Q50 Q53:Q55" xr:uid="{00000000-0002-0000-0000-000003000000}">
      <formula1>"Media Center,Residential,Hotel,Plaza,Arcade,Cultural Center,Academy,Library,Gymnasium"</formula1>
    </dataValidation>
    <dataValidation type="list" allowBlank="1" showErrorMessage="1" sqref="L51" xr:uid="{00000000-0002-0000-0000-000004000000}">
      <formula1>"Proscenium,Thrust,Vineyard,Arena,Others"</formula1>
    </dataValidation>
    <dataValidation type="list" allowBlank="1" showErrorMessage="1" sqref="L2:L50 L52:L55" xr:uid="{00000000-0002-0000-0000-000005000000}">
      <formula1>"Proscenium,Thrust,Vineyard,Arena,Bifrontal,Shoebox,Black Box,Studio Hall"</formula1>
    </dataValidation>
  </dataValidations>
  <hyperlinks>
    <hyperlink ref="B17" r:id="rId1" xr:uid="{00000000-0004-0000-0000-000000000000}"/>
    <hyperlink ref="B20" r:id="rId2" xr:uid="{00000000-0004-0000-0000-000001000000}"/>
    <hyperlink ref="B23" r:id="rId3" xr:uid="{00000000-0004-0000-0000-000002000000}"/>
    <hyperlink ref="B26" r:id="rId4" xr:uid="{00000000-0004-0000-0000-000003000000}"/>
    <hyperlink ref="B28" r:id="rId5" location="Directions" xr:uid="{00000000-0004-0000-0000-000005000000}"/>
    <hyperlink ref="B32" r:id="rId6" xr:uid="{00000000-0004-0000-0000-000006000000}"/>
    <hyperlink ref="B35" r:id="rId7" xr:uid="{00000000-0004-0000-0000-000007000000}"/>
    <hyperlink ref="B39" r:id="rId8" xr:uid="{00000000-0004-0000-0000-000008000000}"/>
    <hyperlink ref="B42" r:id="rId9" xr:uid="{00000000-0004-0000-0000-000009000000}"/>
    <hyperlink ref="B50" r:id="rId10" xr:uid="{00000000-0004-0000-0000-00000A000000}"/>
    <hyperlink ref="B53" r:id="rId11" xr:uid="{00000000-0004-0000-0000-00000B000000}"/>
    <hyperlink ref="B54" r:id="rId12" xr:uid="{00000000-0004-0000-0000-00000C000000}"/>
    <hyperlink ref="B55" r:id="rId13" xr:uid="{00000000-0004-0000-0000-00000D000000}"/>
    <hyperlink ref="B27" r:id="rId14" display="https://www.twmarchitects.com/allen-pavilion" xr:uid="{8E2F1A8A-504D-4553-AF14-865E009AB4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陳逸嘉 CHEN,YI-CHIA</cp:lastModifiedBy>
  <dcterms:modified xsi:type="dcterms:W3CDTF">2026-06-10T04:11:51Z</dcterms:modified>
</cp:coreProperties>
</file>